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1BD1674E-F8FF-427F-9D19-3A35CE5A6092}" xr6:coauthVersionLast="47" xr6:coauthVersionMax="47" xr10:uidLastSave="{00000000-0000-0000-0000-000000000000}"/>
  <bookViews>
    <workbookView xWindow="29325" yWindow="105" windowWidth="28335" windowHeight="16200" xr2:uid="{00000000-000D-0000-FFFF-FFFF00000000}"/>
  </bookViews>
  <sheets>
    <sheet name="Catering Co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1" i="1" l="1"/>
  <c r="I33" i="1"/>
  <c r="D32" i="1"/>
  <c r="I31" i="1"/>
  <c r="D31" i="1"/>
  <c r="I30" i="1"/>
  <c r="D30" i="1"/>
  <c r="D29" i="1"/>
  <c r="I27" i="1"/>
  <c r="D24" i="1"/>
  <c r="D26" i="1" s="1"/>
  <c r="D33" i="1" s="1"/>
  <c r="I32" i="1" s="1"/>
  <c r="D18" i="1"/>
  <c r="D17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D9" i="1"/>
  <c r="I8" i="1"/>
  <c r="D8" i="1"/>
  <c r="I34" i="1" l="1"/>
  <c r="I36" i="1" l="1"/>
  <c r="I37" i="1" s="1"/>
  <c r="I39" i="1" s="1"/>
  <c r="I40" i="1" s="1"/>
</calcChain>
</file>

<file path=xl/sharedStrings.xml><?xml version="1.0" encoding="utf-8"?>
<sst xmlns="http://schemas.openxmlformats.org/spreadsheetml/2006/main" count="69" uniqueCount="67">
  <si>
    <t>CATERING EVENT COSTING</t>
  </si>
  <si>
    <t>Event Name</t>
  </si>
  <si>
    <t>Event Date</t>
  </si>
  <si>
    <t>Guest Count</t>
  </si>
  <si>
    <t>Client</t>
  </si>
  <si>
    <t>Venue</t>
  </si>
  <si>
    <t>Service Type</t>
  </si>
  <si>
    <t>MENU / FOOD COSTS</t>
  </si>
  <si>
    <t>LABOR</t>
  </si>
  <si>
    <t>Menu Item / Recipe</t>
  </si>
  <si>
    <t>Quantity</t>
  </si>
  <si>
    <t>Unit Cost</t>
  </si>
  <si>
    <t>Total Cost</t>
  </si>
  <si>
    <t>Labor Type</t>
  </si>
  <si>
    <t>Hours</t>
  </si>
  <si>
    <t>Hourly Rate</t>
  </si>
  <si>
    <t>Cost</t>
  </si>
  <si>
    <t>Prep Labor</t>
  </si>
  <si>
    <t>Cooking Labor</t>
  </si>
  <si>
    <t>Packing Labor</t>
  </si>
  <si>
    <t>Setup Labor</t>
  </si>
  <si>
    <t>Service Labor</t>
  </si>
  <si>
    <t>Breakdown / Cleanup</t>
  </si>
  <si>
    <t>Other Labor</t>
  </si>
  <si>
    <t>TOTAL LABOR</t>
  </si>
  <si>
    <t>EVENT EXPENSES</t>
  </si>
  <si>
    <t>TOTAL FOOD COST</t>
  </si>
  <si>
    <t>Expense</t>
  </si>
  <si>
    <t>Rentals</t>
  </si>
  <si>
    <t>TRANSPORTATION / MILEAGE</t>
  </si>
  <si>
    <t>Disposable Serviceware</t>
  </si>
  <si>
    <t>Cost Item</t>
  </si>
  <si>
    <t>Input</t>
  </si>
  <si>
    <t>Rate / Amount</t>
  </si>
  <si>
    <t>Linens / Napkins</t>
  </si>
  <si>
    <t>One-Way Miles</t>
  </si>
  <si>
    <t>Sterno / Fuel</t>
  </si>
  <si>
    <t>Number of Round Trips</t>
  </si>
  <si>
    <t>Ice</t>
  </si>
  <si>
    <t>Total Miles</t>
  </si>
  <si>
    <t>Equipment Rental</t>
  </si>
  <si>
    <t>Mileage Rate</t>
  </si>
  <si>
    <t>Delivery Supplies</t>
  </si>
  <si>
    <t>Mileage Cost</t>
  </si>
  <si>
    <t>Other Event Expense</t>
  </si>
  <si>
    <t>Travel Time (Hours)</t>
  </si>
  <si>
    <t>TOTAL EVENT EXPENSES</t>
  </si>
  <si>
    <t>Travel Labor Rate</t>
  </si>
  <si>
    <t>Travel Labor Cost</t>
  </si>
  <si>
    <t>CATERING COST SUMMARY</t>
  </si>
  <si>
    <t>Tolls</t>
  </si>
  <si>
    <t>Total Food Cost</t>
  </si>
  <si>
    <t>Parking</t>
  </si>
  <si>
    <t>Total Labor</t>
  </si>
  <si>
    <t>Other Transportation</t>
  </si>
  <si>
    <t>Total Transportation</t>
  </si>
  <si>
    <t>TOTAL TRANSPORTATION</t>
  </si>
  <si>
    <t>Total Event Expenses</t>
  </si>
  <si>
    <t>TOTAL DIRECT COST</t>
  </si>
  <si>
    <t>Overhead %</t>
  </si>
  <si>
    <t>Enter mileage as one-way miles and number of round trips. Mileage covers the vehicle cost; travel labor separately captures the time spent driving.</t>
  </si>
  <si>
    <t>Overhead Amount</t>
  </si>
  <si>
    <t>TOTAL COST</t>
  </si>
  <si>
    <t>Target Profit Margin</t>
  </si>
  <si>
    <t>SELLING PRICE</t>
  </si>
  <si>
    <t>Profit</t>
  </si>
  <si>
    <t>Price Per 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</si>
</sst>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0.0%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D966"/>
      </patternFill>
    </fill>
  </fills>
  <borders count="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0" xfId="0" applyNumberFormat="1" applyFont="1" applyFill="1" applyBorder="1"/>
    <xf numFmtId="0" fontId="0" fillId="4" borderId="0" xfId="0" applyNumberFormat="1" applyFont="1" applyFill="1" applyBorder="1"/>
    <xf numFmtId="164" fontId="0" fillId="4" borderId="0" xfId="0" applyNumberFormat="1" applyFont="1" applyFill="1" applyBorder="1"/>
    <xf numFmtId="165" fontId="0" fillId="4" borderId="0" xfId="0" applyNumberFormat="1" applyFont="1" applyFill="1" applyBorder="1"/>
    <xf numFmtId="165" fontId="0" fillId="0" borderId="0" xfId="0" applyNumberFormat="1" applyFont="1" applyFill="1" applyBorder="1"/>
    <xf numFmtId="0" fontId="2" fillId="5" borderId="1" xfId="0" applyNumberFormat="1" applyFont="1" applyFill="1" applyBorder="1" applyAlignment="1">
      <alignment horizontal="center"/>
    </xf>
    <xf numFmtId="0" fontId="2" fillId="5" borderId="2" xfId="0" applyNumberFormat="1" applyFont="1" applyFill="1" applyBorder="1" applyAlignment="1">
      <alignment horizontal="center"/>
    </xf>
    <xf numFmtId="0" fontId="2" fillId="5" borderId="3" xfId="0" applyNumberFormat="1" applyFont="1" applyFill="1" applyBorder="1" applyAlignment="1">
      <alignment horizontal="center"/>
    </xf>
    <xf numFmtId="0" fontId="0" fillId="4" borderId="4" xfId="0" applyNumberFormat="1" applyFont="1" applyFill="1" applyBorder="1"/>
    <xf numFmtId="165" fontId="0" fillId="6" borderId="5" xfId="0" applyNumberFormat="1" applyFont="1" applyFill="1" applyBorder="1"/>
    <xf numFmtId="165" fontId="2" fillId="6" borderId="8" xfId="0" applyNumberFormat="1" applyFont="1" applyFill="1" applyBorder="1"/>
    <xf numFmtId="0" fontId="0" fillId="0" borderId="4" xfId="0" applyNumberFormat="1" applyFont="1" applyFill="1" applyBorder="1"/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6" borderId="5" xfId="0" applyNumberFormat="1" applyFont="1" applyFill="1" applyBorder="1"/>
    <xf numFmtId="165" fontId="0" fillId="0" borderId="5" xfId="0" applyNumberFormat="1" applyFont="1" applyFill="1" applyBorder="1"/>
    <xf numFmtId="165" fontId="0" fillId="4" borderId="5" xfId="0" applyNumberFormat="1" applyFont="1" applyFill="1" applyBorder="1"/>
    <xf numFmtId="165" fontId="0" fillId="6" borderId="3" xfId="0" applyNumberFormat="1" applyFont="1" applyFill="1" applyBorder="1"/>
    <xf numFmtId="165" fontId="2" fillId="6" borderId="5" xfId="0" applyNumberFormat="1" applyFont="1" applyFill="1" applyBorder="1"/>
    <xf numFmtId="166" fontId="0" fillId="7" borderId="5" xfId="0" applyNumberFormat="1" applyFont="1" applyFill="1" applyBorder="1"/>
    <xf numFmtId="165" fontId="2" fillId="8" borderId="5" xfId="0" applyNumberFormat="1" applyFont="1" applyFill="1" applyBorder="1"/>
    <xf numFmtId="165" fontId="0" fillId="6" borderId="8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/>
    <xf numFmtId="1" fontId="0" fillId="4" borderId="0" xfId="0" applyNumberFormat="1" applyFont="1" applyFill="1" applyBorder="1"/>
    <xf numFmtId="0" fontId="3" fillId="2" borderId="0" xfId="0" applyNumberFormat="1" applyFont="1" applyFill="1" applyBorder="1" applyAlignment="1">
      <alignment horizontal="center"/>
    </xf>
    <xf numFmtId="0" fontId="2" fillId="6" borderId="6" xfId="0" applyNumberFormat="1" applyFont="1" applyFill="1" applyBorder="1"/>
    <xf numFmtId="0" fontId="2" fillId="6" borderId="7" xfId="0" applyNumberFormat="1" applyFont="1" applyFill="1" applyBorder="1"/>
    <xf numFmtId="165" fontId="2" fillId="6" borderId="7" xfId="0" applyNumberFormat="1" applyFont="1" applyFill="1" applyBorder="1"/>
    <xf numFmtId="0" fontId="0" fillId="0" borderId="4" xfId="0" applyNumberFormat="1" applyFont="1" applyFill="1" applyBorder="1"/>
    <xf numFmtId="0" fontId="0" fillId="0" borderId="0" xfId="0" applyNumberFormat="1" applyFont="1" applyFill="1" applyBorder="1"/>
    <xf numFmtId="0" fontId="0" fillId="5" borderId="1" xfId="0" applyNumberFormat="1" applyFont="1" applyFill="1" applyBorder="1"/>
    <xf numFmtId="0" fontId="0" fillId="5" borderId="2" xfId="0" applyNumberFormat="1" applyFont="1" applyFill="1" applyBorder="1"/>
    <xf numFmtId="0" fontId="0" fillId="5" borderId="4" xfId="0" applyNumberFormat="1" applyFont="1" applyFill="1" applyBorder="1"/>
    <xf numFmtId="0" fontId="0" fillId="5" borderId="0" xfId="0" applyNumberFormat="1" applyFont="1" applyFill="1" applyBorder="1"/>
    <xf numFmtId="0" fontId="2" fillId="5" borderId="4" xfId="0" applyNumberFormat="1" applyFont="1" applyFill="1" applyBorder="1"/>
    <xf numFmtId="0" fontId="2" fillId="5" borderId="0" xfId="0" applyNumberFormat="1" applyFont="1" applyFill="1" applyBorder="1"/>
    <xf numFmtId="0" fontId="2" fillId="8" borderId="4" xfId="0" applyNumberFormat="1" applyFont="1" applyFill="1" applyBorder="1"/>
    <xf numFmtId="0" fontId="2" fillId="8" borderId="0" xfId="0" applyNumberFormat="1" applyFont="1" applyFill="1" applyBorder="1"/>
    <xf numFmtId="0" fontId="0" fillId="5" borderId="6" xfId="0" applyNumberFormat="1" applyFont="1" applyFill="1" applyBorder="1"/>
    <xf numFmtId="0" fontId="0" fillId="5" borderId="7" xfId="0" applyNumberFormat="1" applyFont="1" applyFill="1" applyBorder="1"/>
    <xf numFmtId="0" fontId="0" fillId="7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showGridLines="0" tabSelected="1" workbookViewId="0">
      <selection activeCell="L15" sqref="L15"/>
    </sheetView>
  </sheetViews>
  <sheetFormatPr defaultRowHeight="14.25"/>
  <cols>
    <col min="1" max="1" width="24" customWidth="1"/>
    <col min="2" max="2" width="12" customWidth="1"/>
    <col min="3" max="4" width="14" customWidth="1"/>
    <col min="5" max="5" width="3" customWidth="1"/>
    <col min="6" max="6" width="25" customWidth="1"/>
    <col min="7" max="7" width="12" customWidth="1"/>
    <col min="8" max="9" width="15" customWidth="1"/>
  </cols>
  <sheetData>
    <row r="1" spans="1:9" ht="27.95" customHeight="1">
      <c r="A1" s="23" t="s">
        <v>0</v>
      </c>
      <c r="B1" s="23"/>
      <c r="C1" s="23"/>
      <c r="D1" s="23"/>
      <c r="E1" s="23"/>
      <c r="F1" s="23"/>
      <c r="G1" s="23"/>
      <c r="H1" s="23"/>
    </row>
    <row r="3" spans="1:9" ht="15">
      <c r="A3" s="1" t="s">
        <v>1</v>
      </c>
      <c r="B3" s="24"/>
      <c r="C3" s="24"/>
      <c r="D3" s="1" t="s">
        <v>2</v>
      </c>
      <c r="E3" s="3"/>
      <c r="F3" s="1" t="s">
        <v>3</v>
      </c>
      <c r="G3" s="25"/>
      <c r="H3" s="25"/>
    </row>
    <row r="4" spans="1:9" ht="15">
      <c r="A4" s="1" t="s">
        <v>4</v>
      </c>
      <c r="B4" s="24"/>
      <c r="C4" s="24"/>
      <c r="D4" s="1" t="s">
        <v>5</v>
      </c>
      <c r="E4" s="2"/>
      <c r="F4" s="1" t="s">
        <v>6</v>
      </c>
      <c r="G4" s="24"/>
      <c r="H4" s="24"/>
    </row>
    <row r="6" spans="1:9" ht="15">
      <c r="A6" s="26" t="s">
        <v>7</v>
      </c>
      <c r="B6" s="26"/>
      <c r="C6" s="26"/>
      <c r="D6" s="26"/>
      <c r="F6" s="26" t="s">
        <v>8</v>
      </c>
      <c r="G6" s="26"/>
      <c r="H6" s="26"/>
      <c r="I6" s="26"/>
    </row>
    <row r="7" spans="1:9" ht="15">
      <c r="A7" s="6" t="s">
        <v>9</v>
      </c>
      <c r="B7" s="7" t="s">
        <v>10</v>
      </c>
      <c r="C7" s="7" t="s">
        <v>11</v>
      </c>
      <c r="D7" s="8" t="s">
        <v>12</v>
      </c>
      <c r="F7" s="6" t="s">
        <v>13</v>
      </c>
      <c r="G7" s="7" t="s">
        <v>14</v>
      </c>
      <c r="H7" s="7" t="s">
        <v>15</v>
      </c>
      <c r="I7" s="8" t="s">
        <v>16</v>
      </c>
    </row>
    <row r="8" spans="1:9">
      <c r="A8" s="9"/>
      <c r="B8" s="2"/>
      <c r="C8" s="4"/>
      <c r="D8" s="10">
        <f t="shared" ref="D8:D17" si="0">IF(OR(B8="",C8=""),0,B8*C8)</f>
        <v>0</v>
      </c>
      <c r="F8" s="12" t="s">
        <v>17</v>
      </c>
      <c r="G8" s="2"/>
      <c r="H8" s="4"/>
      <c r="I8" s="10">
        <f t="shared" ref="I8:I14" si="1">IF(OR(G8="",H8=""),0,G8*H8)</f>
        <v>0</v>
      </c>
    </row>
    <row r="9" spans="1:9">
      <c r="A9" s="9"/>
      <c r="B9" s="2"/>
      <c r="C9" s="4"/>
      <c r="D9" s="10">
        <f t="shared" si="0"/>
        <v>0</v>
      </c>
      <c r="F9" s="12" t="s">
        <v>18</v>
      </c>
      <c r="G9" s="2"/>
      <c r="H9" s="4"/>
      <c r="I9" s="10">
        <f t="shared" si="1"/>
        <v>0</v>
      </c>
    </row>
    <row r="10" spans="1:9">
      <c r="A10" s="9"/>
      <c r="B10" s="2"/>
      <c r="C10" s="4"/>
      <c r="D10" s="10">
        <f t="shared" si="0"/>
        <v>0</v>
      </c>
      <c r="F10" s="12" t="s">
        <v>19</v>
      </c>
      <c r="G10" s="2"/>
      <c r="H10" s="4"/>
      <c r="I10" s="10">
        <f t="shared" si="1"/>
        <v>0</v>
      </c>
    </row>
    <row r="11" spans="1:9">
      <c r="A11" s="9"/>
      <c r="B11" s="2"/>
      <c r="C11" s="4"/>
      <c r="D11" s="10">
        <f t="shared" si="0"/>
        <v>0</v>
      </c>
      <c r="F11" s="12" t="s">
        <v>20</v>
      </c>
      <c r="G11" s="2"/>
      <c r="H11" s="4"/>
      <c r="I11" s="10">
        <f t="shared" si="1"/>
        <v>0</v>
      </c>
    </row>
    <row r="12" spans="1:9">
      <c r="A12" s="9"/>
      <c r="B12" s="2"/>
      <c r="C12" s="4"/>
      <c r="D12" s="10">
        <f t="shared" si="0"/>
        <v>0</v>
      </c>
      <c r="F12" s="12" t="s">
        <v>21</v>
      </c>
      <c r="G12" s="2"/>
      <c r="H12" s="4"/>
      <c r="I12" s="10">
        <f t="shared" si="1"/>
        <v>0</v>
      </c>
    </row>
    <row r="13" spans="1:9">
      <c r="A13" s="9"/>
      <c r="B13" s="2"/>
      <c r="C13" s="4"/>
      <c r="D13" s="10">
        <f t="shared" si="0"/>
        <v>0</v>
      </c>
      <c r="F13" s="12" t="s">
        <v>22</v>
      </c>
      <c r="G13" s="2"/>
      <c r="H13" s="4"/>
      <c r="I13" s="10">
        <f t="shared" si="1"/>
        <v>0</v>
      </c>
    </row>
    <row r="14" spans="1:9">
      <c r="A14" s="9"/>
      <c r="B14" s="2"/>
      <c r="C14" s="4"/>
      <c r="D14" s="10">
        <f t="shared" si="0"/>
        <v>0</v>
      </c>
      <c r="F14" s="12" t="s">
        <v>23</v>
      </c>
      <c r="G14" s="2"/>
      <c r="H14" s="4"/>
      <c r="I14" s="10">
        <f t="shared" si="1"/>
        <v>0</v>
      </c>
    </row>
    <row r="15" spans="1:9" ht="15">
      <c r="A15" s="9"/>
      <c r="B15" s="2"/>
      <c r="C15" s="4"/>
      <c r="D15" s="10">
        <f t="shared" si="0"/>
        <v>0</v>
      </c>
      <c r="F15" s="27" t="s">
        <v>24</v>
      </c>
      <c r="G15" s="28"/>
      <c r="H15" s="29"/>
      <c r="I15" s="11">
        <f>SUM(I8:I14)</f>
        <v>0</v>
      </c>
    </row>
    <row r="16" spans="1:9">
      <c r="A16" s="9"/>
      <c r="B16" s="2"/>
      <c r="C16" s="4"/>
      <c r="D16" s="10">
        <f t="shared" si="0"/>
        <v>0</v>
      </c>
    </row>
    <row r="17" spans="1:9" ht="15">
      <c r="A17" s="9"/>
      <c r="B17" s="2"/>
      <c r="C17" s="4"/>
      <c r="D17" s="10">
        <f t="shared" si="0"/>
        <v>0</v>
      </c>
      <c r="F17" s="26" t="s">
        <v>25</v>
      </c>
      <c r="G17" s="26"/>
      <c r="H17" s="26"/>
      <c r="I17" s="26"/>
    </row>
    <row r="18" spans="1:9" ht="15">
      <c r="A18" s="27" t="s">
        <v>26</v>
      </c>
      <c r="B18" s="28"/>
      <c r="C18" s="29"/>
      <c r="D18" s="11">
        <f>SUM(D8:D17)</f>
        <v>0</v>
      </c>
      <c r="F18" s="6" t="s">
        <v>27</v>
      </c>
      <c r="G18" s="7"/>
      <c r="H18" s="7"/>
      <c r="I18" s="8" t="s">
        <v>16</v>
      </c>
    </row>
    <row r="19" spans="1:9">
      <c r="F19" s="30" t="s">
        <v>28</v>
      </c>
      <c r="G19" s="31"/>
      <c r="H19" s="31"/>
      <c r="I19" s="17"/>
    </row>
    <row r="20" spans="1:9" ht="15">
      <c r="A20" s="26" t="s">
        <v>29</v>
      </c>
      <c r="B20" s="26"/>
      <c r="C20" s="26"/>
      <c r="D20" s="26"/>
      <c r="F20" s="30" t="s">
        <v>30</v>
      </c>
      <c r="G20" s="31"/>
      <c r="H20" s="31"/>
      <c r="I20" s="17"/>
    </row>
    <row r="21" spans="1:9" ht="15">
      <c r="A21" s="6" t="s">
        <v>31</v>
      </c>
      <c r="B21" s="7" t="s">
        <v>32</v>
      </c>
      <c r="C21" s="7" t="s">
        <v>33</v>
      </c>
      <c r="D21" s="8" t="s">
        <v>16</v>
      </c>
      <c r="F21" s="30" t="s">
        <v>34</v>
      </c>
      <c r="G21" s="31"/>
      <c r="H21" s="31"/>
      <c r="I21" s="17"/>
    </row>
    <row r="22" spans="1:9">
      <c r="A22" s="12" t="s">
        <v>35</v>
      </c>
      <c r="B22" s="2"/>
      <c r="C22" s="13"/>
      <c r="D22" s="14"/>
      <c r="F22" s="30" t="s">
        <v>36</v>
      </c>
      <c r="G22" s="31"/>
      <c r="H22" s="31"/>
      <c r="I22" s="17"/>
    </row>
    <row r="23" spans="1:9">
      <c r="A23" s="12" t="s">
        <v>37</v>
      </c>
      <c r="B23" s="2"/>
      <c r="C23" s="13"/>
      <c r="D23" s="14"/>
      <c r="F23" s="30" t="s">
        <v>38</v>
      </c>
      <c r="G23" s="31"/>
      <c r="H23" s="31"/>
      <c r="I23" s="17"/>
    </row>
    <row r="24" spans="1:9">
      <c r="A24" s="12" t="s">
        <v>39</v>
      </c>
      <c r="B24" s="13"/>
      <c r="C24" s="13"/>
      <c r="D24" s="15">
        <f>IF(OR(B22="",B23=""),0,B22*2*B23)</f>
        <v>0</v>
      </c>
      <c r="F24" s="30" t="s">
        <v>40</v>
      </c>
      <c r="G24" s="31"/>
      <c r="H24" s="31"/>
      <c r="I24" s="17"/>
    </row>
    <row r="25" spans="1:9">
      <c r="A25" s="12" t="s">
        <v>41</v>
      </c>
      <c r="B25" s="13"/>
      <c r="C25" s="4"/>
      <c r="D25" s="14"/>
      <c r="F25" s="30" t="s">
        <v>42</v>
      </c>
      <c r="G25" s="31"/>
      <c r="H25" s="31"/>
      <c r="I25" s="17"/>
    </row>
    <row r="26" spans="1:9">
      <c r="A26" s="12" t="s">
        <v>43</v>
      </c>
      <c r="B26" s="13"/>
      <c r="C26" s="5"/>
      <c r="D26" s="10">
        <f>IF(OR(D24=0,C25=""),0,D24*C25)</f>
        <v>0</v>
      </c>
      <c r="F26" s="30" t="s">
        <v>44</v>
      </c>
      <c r="G26" s="31"/>
      <c r="H26" s="31"/>
      <c r="I26" s="17"/>
    </row>
    <row r="27" spans="1:9" ht="15">
      <c r="A27" s="12" t="s">
        <v>45</v>
      </c>
      <c r="B27" s="2"/>
      <c r="C27" s="5"/>
      <c r="D27" s="16"/>
      <c r="F27" s="27" t="s">
        <v>46</v>
      </c>
      <c r="G27" s="28"/>
      <c r="H27" s="28"/>
      <c r="I27" s="11">
        <f>SUM(I19:I26)</f>
        <v>0</v>
      </c>
    </row>
    <row r="28" spans="1:9">
      <c r="A28" s="12" t="s">
        <v>47</v>
      </c>
      <c r="B28" s="13"/>
      <c r="C28" s="4"/>
      <c r="D28" s="16"/>
    </row>
    <row r="29" spans="1:9" ht="15">
      <c r="A29" s="12" t="s">
        <v>48</v>
      </c>
      <c r="B29" s="13"/>
      <c r="C29" s="5"/>
      <c r="D29" s="10">
        <f>IF(OR(B27="",C28=""),0,B27*C28)</f>
        <v>0</v>
      </c>
      <c r="F29" s="26" t="s">
        <v>49</v>
      </c>
      <c r="G29" s="26"/>
      <c r="H29" s="26"/>
      <c r="I29" s="26"/>
    </row>
    <row r="30" spans="1:9">
      <c r="A30" s="12" t="s">
        <v>50</v>
      </c>
      <c r="B30" s="13"/>
      <c r="C30" s="4"/>
      <c r="D30" s="10">
        <f>IF(C30="",0,C30)</f>
        <v>0</v>
      </c>
      <c r="F30" s="32" t="s">
        <v>51</v>
      </c>
      <c r="G30" s="33"/>
      <c r="H30" s="33"/>
      <c r="I30" s="18">
        <f>D18</f>
        <v>0</v>
      </c>
    </row>
    <row r="31" spans="1:9">
      <c r="A31" s="12" t="s">
        <v>52</v>
      </c>
      <c r="B31" s="13"/>
      <c r="C31" s="4"/>
      <c r="D31" s="10">
        <f>IF(C31="",0,C31)</f>
        <v>0</v>
      </c>
      <c r="F31" s="34" t="s">
        <v>53</v>
      </c>
      <c r="G31" s="35"/>
      <c r="H31" s="35"/>
      <c r="I31" s="10">
        <f>I15</f>
        <v>0</v>
      </c>
    </row>
    <row r="32" spans="1:9">
      <c r="A32" s="12" t="s">
        <v>54</v>
      </c>
      <c r="B32" s="13"/>
      <c r="C32" s="4"/>
      <c r="D32" s="10">
        <f>IF(C32="",0,C32)</f>
        <v>0</v>
      </c>
      <c r="F32" s="34" t="s">
        <v>55</v>
      </c>
      <c r="G32" s="35"/>
      <c r="H32" s="35"/>
      <c r="I32" s="10">
        <f>D33</f>
        <v>0</v>
      </c>
    </row>
    <row r="33" spans="1:9" ht="15">
      <c r="A33" s="27" t="s">
        <v>56</v>
      </c>
      <c r="B33" s="28"/>
      <c r="C33" s="28"/>
      <c r="D33" s="11">
        <f>SUM(D26,D29:D32)</f>
        <v>0</v>
      </c>
      <c r="F33" s="34" t="s">
        <v>57</v>
      </c>
      <c r="G33" s="35"/>
      <c r="H33" s="35"/>
      <c r="I33" s="10">
        <f>I27</f>
        <v>0</v>
      </c>
    </row>
    <row r="34" spans="1:9" ht="15">
      <c r="F34" s="36" t="s">
        <v>58</v>
      </c>
      <c r="G34" s="37"/>
      <c r="H34" s="37"/>
      <c r="I34" s="19">
        <f>SUM(I30:I33)</f>
        <v>0</v>
      </c>
    </row>
    <row r="35" spans="1:9">
      <c r="F35" s="34" t="s">
        <v>59</v>
      </c>
      <c r="G35" s="35"/>
      <c r="H35" s="35"/>
      <c r="I35" s="20">
        <v>0</v>
      </c>
    </row>
    <row r="36" spans="1:9">
      <c r="A36" s="42" t="s">
        <v>60</v>
      </c>
      <c r="B36" s="42"/>
      <c r="C36" s="42"/>
      <c r="D36" s="42"/>
      <c r="F36" s="34" t="s">
        <v>61</v>
      </c>
      <c r="G36" s="35"/>
      <c r="H36" s="35"/>
      <c r="I36" s="10">
        <f>I34*I35</f>
        <v>0</v>
      </c>
    </row>
    <row r="37" spans="1:9" ht="15">
      <c r="A37" s="42"/>
      <c r="B37" s="42"/>
      <c r="C37" s="42"/>
      <c r="D37" s="42"/>
      <c r="F37" s="36" t="s">
        <v>62</v>
      </c>
      <c r="G37" s="37"/>
      <c r="H37" s="37"/>
      <c r="I37" s="19">
        <f>I34+I36</f>
        <v>0</v>
      </c>
    </row>
    <row r="38" spans="1:9">
      <c r="A38" s="42"/>
      <c r="B38" s="42"/>
      <c r="C38" s="42"/>
      <c r="D38" s="42"/>
      <c r="F38" s="34" t="s">
        <v>63</v>
      </c>
      <c r="G38" s="35"/>
      <c r="H38" s="35"/>
      <c r="I38" s="20">
        <v>0</v>
      </c>
    </row>
    <row r="39" spans="1:9" ht="15">
      <c r="A39" s="42"/>
      <c r="B39" s="42"/>
      <c r="C39" s="42"/>
      <c r="D39" s="42"/>
      <c r="F39" s="38" t="s">
        <v>64</v>
      </c>
      <c r="G39" s="39"/>
      <c r="H39" s="39"/>
      <c r="I39" s="21">
        <f>IF(I38&gt;=1,0,I37/(1-I38))</f>
        <v>0</v>
      </c>
    </row>
    <row r="40" spans="1:9">
      <c r="A40" s="42"/>
      <c r="B40" s="42"/>
      <c r="C40" s="42"/>
      <c r="D40" s="42"/>
      <c r="F40" s="34" t="s">
        <v>65</v>
      </c>
      <c r="G40" s="35"/>
      <c r="H40" s="35"/>
      <c r="I40" s="10">
        <f>I39-I37</f>
        <v>0</v>
      </c>
    </row>
    <row r="41" spans="1:9">
      <c r="F41" s="40" t="s">
        <v>66</v>
      </c>
      <c r="G41" s="41"/>
      <c r="H41" s="41"/>
      <c r="I41" s="22">
        <f>IF(G3&gt;0,I39/G3,0)</f>
        <v>0</v>
      </c>
    </row>
  </sheetData>
  <mergeCells count="35">
    <mergeCell ref="F39:H39"/>
    <mergeCell ref="F40:H40"/>
    <mergeCell ref="F41:H41"/>
    <mergeCell ref="A36:D40"/>
    <mergeCell ref="F34:H34"/>
    <mergeCell ref="F35:H35"/>
    <mergeCell ref="F36:H36"/>
    <mergeCell ref="F37:H37"/>
    <mergeCell ref="F38:H38"/>
    <mergeCell ref="F29:I29"/>
    <mergeCell ref="F30:H30"/>
    <mergeCell ref="F31:H31"/>
    <mergeCell ref="F32:H32"/>
    <mergeCell ref="F33:H33"/>
    <mergeCell ref="A6:D6"/>
    <mergeCell ref="A18:C18"/>
    <mergeCell ref="A20:D20"/>
    <mergeCell ref="A33:C33"/>
    <mergeCell ref="F6:I6"/>
    <mergeCell ref="F15:H15"/>
    <mergeCell ref="F17:I17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A1:H1"/>
    <mergeCell ref="B3:C3"/>
    <mergeCell ref="B4:C4"/>
    <mergeCell ref="G3:H3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Catering Costing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Darrell Pender</cp:lastModifiedBy>
  <dcterms:modified xsi:type="dcterms:W3CDTF">2026-09-05T01:48:25Z</dcterms:modified>
</cp:coreProperties>
</file>