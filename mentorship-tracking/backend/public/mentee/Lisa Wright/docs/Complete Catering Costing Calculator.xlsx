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ownloads\"/>
    </mc:Choice>
  </mc:AlternateContent>
  <xr:revisionPtr revIDLastSave="0" documentId="13_ncr:1_{C7999BA8-B029-4F26-A12B-46673C1E431E}" xr6:coauthVersionLast="47" xr6:coauthVersionMax="47" xr10:uidLastSave="{00000000-0000-0000-0000-000000000000}"/>
  <bookViews>
    <workbookView xWindow="30075" yWindow="330" windowWidth="28335" windowHeight="16200" xr2:uid="{00000000-000D-0000-FFFF-FFFF00000000}"/>
  </bookViews>
  <sheets>
    <sheet name="Catering Costing" sheetId="1" r:id="rId1"/>
    <sheet name="Overhead Setu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 i="2" l="1"/>
  <c r="B24" i="2" s="1"/>
  <c r="I43" i="1" s="1"/>
  <c r="I65" i="1"/>
  <c r="I56" i="1"/>
  <c r="D51" i="1"/>
  <c r="D50" i="1"/>
  <c r="D49" i="1"/>
  <c r="D48" i="1"/>
  <c r="D47" i="1"/>
  <c r="D52" i="1" s="1"/>
  <c r="I55" i="1" s="1"/>
  <c r="I46" i="1"/>
  <c r="D45" i="1"/>
  <c r="J39" i="1"/>
  <c r="D36" i="1"/>
  <c r="F36" i="1" s="1"/>
  <c r="F35" i="1"/>
  <c r="D35" i="1"/>
  <c r="D34" i="1"/>
  <c r="F34" i="1" s="1"/>
  <c r="D33" i="1"/>
  <c r="F33" i="1" s="1"/>
  <c r="D32" i="1"/>
  <c r="F32" i="1" s="1"/>
  <c r="D31" i="1"/>
  <c r="F31" i="1" s="1"/>
  <c r="D30" i="1"/>
  <c r="F30" i="1" s="1"/>
  <c r="D29" i="1"/>
  <c r="F29" i="1" s="1"/>
  <c r="G23" i="1"/>
  <c r="H23" i="1" s="1"/>
  <c r="D23" i="1"/>
  <c r="D22" i="1"/>
  <c r="G22" i="1" s="1"/>
  <c r="H22" i="1" s="1"/>
  <c r="D21" i="1"/>
  <c r="G21" i="1" s="1"/>
  <c r="H21" i="1" s="1"/>
  <c r="D20" i="1"/>
  <c r="G20" i="1" s="1"/>
  <c r="H20" i="1" s="1"/>
  <c r="D19" i="1"/>
  <c r="G19" i="1" s="1"/>
  <c r="H19" i="1" s="1"/>
  <c r="D18" i="1"/>
  <c r="G18" i="1" s="1"/>
  <c r="H18" i="1" s="1"/>
  <c r="D17" i="1"/>
  <c r="G17" i="1" s="1"/>
  <c r="H17" i="1" s="1"/>
  <c r="D16" i="1"/>
  <c r="G16" i="1" s="1"/>
  <c r="H16" i="1" s="1"/>
  <c r="D15" i="1"/>
  <c r="G15" i="1" s="1"/>
  <c r="H15" i="1" s="1"/>
  <c r="G14" i="1"/>
  <c r="H14" i="1" s="1"/>
  <c r="D14" i="1"/>
  <c r="D13" i="1"/>
  <c r="G13" i="1" s="1"/>
  <c r="H13" i="1" s="1"/>
  <c r="D12" i="1"/>
  <c r="G12" i="1" s="1"/>
  <c r="H12" i="1" s="1"/>
  <c r="D11" i="1"/>
  <c r="G11" i="1" s="1"/>
  <c r="H11" i="1" s="1"/>
  <c r="G10" i="1"/>
  <c r="H10" i="1" s="1"/>
  <c r="D10" i="1"/>
  <c r="D9" i="1"/>
  <c r="G9" i="1" s="1"/>
  <c r="H9" i="1" s="1"/>
  <c r="H24" i="1" l="1"/>
  <c r="I53" i="1" s="1"/>
  <c r="F37" i="1"/>
  <c r="I54" i="1" s="1"/>
  <c r="D37" i="1"/>
  <c r="I44" i="1" s="1"/>
  <c r="I45" i="1" s="1"/>
  <c r="I47" i="1" s="1"/>
  <c r="I49" i="1" s="1"/>
  <c r="I57" i="1" s="1"/>
  <c r="I58" i="1" l="1"/>
  <c r="I60" i="1" l="1"/>
  <c r="I61" i="1" s="1"/>
  <c r="I63" i="1" s="1"/>
  <c r="I68" i="1" l="1"/>
  <c r="I67" i="1"/>
  <c r="I66" i="1"/>
  <c r="I64" i="1"/>
</calcChain>
</file>

<file path=xl/sharedStrings.xml><?xml version="1.0" encoding="utf-8"?>
<sst xmlns="http://schemas.openxmlformats.org/spreadsheetml/2006/main" count="116" uniqueCount="113">
  <si>
    <t>COMPLETE CATERING EVENT COSTING</t>
  </si>
  <si>
    <t>Event Name</t>
  </si>
  <si>
    <t>Event Date</t>
  </si>
  <si>
    <t>Guest Count</t>
  </si>
  <si>
    <t>Client</t>
  </si>
  <si>
    <t>Venue</t>
  </si>
  <si>
    <t>Service Type</t>
  </si>
  <si>
    <t>Event Hours</t>
  </si>
  <si>
    <t>Prepared By</t>
  </si>
  <si>
    <t>RECIPE / MENU COSTS</t>
  </si>
  <si>
    <t>Recipe / Menu Item</t>
  </si>
  <si>
    <t>Batch Recipe Cost</t>
  </si>
  <si>
    <t>Batch Yield</t>
  </si>
  <si>
    <t>Cost / Serving</t>
  </si>
  <si>
    <t>Servings Needed</t>
  </si>
  <si>
    <t>Waste / Extra %</t>
  </si>
  <si>
    <t>Base Event Cost</t>
  </si>
  <si>
    <t>Adjusted Event Cost</t>
  </si>
  <si>
    <t>TOTAL RECIPE / MENU COST</t>
  </si>
  <si>
    <t>LABOR COSTS</t>
  </si>
  <si>
    <t>EVENT / DIRECT EXPENSES</t>
  </si>
  <si>
    <t>Labor Type</t>
  </si>
  <si>
    <t>Staff</t>
  </si>
  <si>
    <t>Hours Each</t>
  </si>
  <si>
    <t>Total Hours</t>
  </si>
  <si>
    <t>Hourly Rate</t>
  </si>
  <si>
    <t>Labor Cost</t>
  </si>
  <si>
    <t>Expense</t>
  </si>
  <si>
    <t>Qty</t>
  </si>
  <si>
    <t>Cost / Unit</t>
  </si>
  <si>
    <t>Recipe Prep</t>
  </si>
  <si>
    <t>Rentals</t>
  </si>
  <si>
    <t>Cooking / Production</t>
  </si>
  <si>
    <t>Disposable Serviceware</t>
  </si>
  <si>
    <t>Packing</t>
  </si>
  <si>
    <t>Linens / Napkins</t>
  </si>
  <si>
    <t>Travel / Delivery</t>
  </si>
  <si>
    <t>Sterno / Fuel</t>
  </si>
  <si>
    <t>Setup</t>
  </si>
  <si>
    <t>Ice</t>
  </si>
  <si>
    <t>Service</t>
  </si>
  <si>
    <t>Equipment Rental</t>
  </si>
  <si>
    <t>Breakdown / Cleanup</t>
  </si>
  <si>
    <t>Delivery Packaging</t>
  </si>
  <si>
    <t>Administrative / Coordination</t>
  </si>
  <si>
    <t>Permits / Event Fees</t>
  </si>
  <si>
    <t>TOTAL LABOR</t>
  </si>
  <si>
    <t>Cost</t>
  </si>
  <si>
    <t>Cleaning / Sanitation</t>
  </si>
  <si>
    <t>Other Direct Expense</t>
  </si>
  <si>
    <t>TOTAL EVENT EXPENSES</t>
  </si>
  <si>
    <t>TRANSPORTATION / MILEAGE</t>
  </si>
  <si>
    <t>Cost Item</t>
  </si>
  <si>
    <t>Input</t>
  </si>
  <si>
    <t>Rate / Amount</t>
  </si>
  <si>
    <t>OVERHEAD ALLOCATION</t>
  </si>
  <si>
    <t>One-Way Miles</t>
  </si>
  <si>
    <t>Overhead Cost / Productive Labor Hour</t>
  </si>
  <si>
    <t>Number of Round Trips</t>
  </si>
  <si>
    <t>Event Labor Hours</t>
  </si>
  <si>
    <t>Total Miles</t>
  </si>
  <si>
    <t>Labor-Hour Overhead Allocation</t>
  </si>
  <si>
    <t>Mileage Rate</t>
  </si>
  <si>
    <t>Minimum Overhead per Event</t>
  </si>
  <si>
    <t>Mileage Cost</t>
  </si>
  <si>
    <t>Allocated Business Overhead</t>
  </si>
  <si>
    <t>Tolls</t>
  </si>
  <si>
    <t>Additional Event-Specific Overhead</t>
  </si>
  <si>
    <t>Parking</t>
  </si>
  <si>
    <t>TOTAL OVERHEAD</t>
  </si>
  <si>
    <t>Vehicle / Truck Rental</t>
  </si>
  <si>
    <t>Other Transportation</t>
  </si>
  <si>
    <t>TOTAL TRANSPORTATION</t>
  </si>
  <si>
    <t>CATERING COST SUMMARY</t>
  </si>
  <si>
    <t>Recipe / Menu Cost</t>
  </si>
  <si>
    <t>HOW TO USE
1. Enter each recipe's batch cost and yield, then the servings needed for this event.
2. Enter labor by staff count, hours, and hourly rate.
3. Enter mileage, tolls, parking, rentals, and other event expenses.
4. Complete the Overhead Setup tab once with your recurring business costs.
5. Enter contingency and target profit margin in the yellow cells.
6. The summary calculates total job cost, selling price, profit, and price per guest.</t>
  </si>
  <si>
    <t>Transportation</t>
  </si>
  <si>
    <t>Event / Direct Expenses</t>
  </si>
  <si>
    <t>Overhead</t>
  </si>
  <si>
    <t>SUBTOTAL COST</t>
  </si>
  <si>
    <t>Contingency %</t>
  </si>
  <si>
    <t>Contingency Amount</t>
  </si>
  <si>
    <t>TOTAL JOB COST</t>
  </si>
  <si>
    <t>Target Profit Margin</t>
  </si>
  <si>
    <t>SELLING PRICE</t>
  </si>
  <si>
    <t>Gross Profit</t>
  </si>
  <si>
    <t>Price per Guest</t>
  </si>
  <si>
    <t>Recipe Cost %</t>
  </si>
  <si>
    <t>Labor Cost %</t>
  </si>
  <si>
    <t>Overhead Cost %</t>
  </si>
  <si>
    <t>OVERHEAD SETUP</t>
  </si>
  <si>
    <t>Enter your recurring monthly business overhead. The sheet converts it to an overhead cost per productive labor hour.</t>
  </si>
  <si>
    <t>Monthly Overhead Category</t>
  </si>
  <si>
    <t>Monthly Cost</t>
  </si>
  <si>
    <t>Kitchen / Commissary Rent</t>
  </si>
  <si>
    <t>Utilities</t>
  </si>
  <si>
    <t>Business Insurance</t>
  </si>
  <si>
    <t>Licenses / Permits</t>
  </si>
  <si>
    <t>Phone / Internet</t>
  </si>
  <si>
    <t>Bookkeeping / Accounting</t>
  </si>
  <si>
    <t>Software / Subscriptions</t>
  </si>
  <si>
    <t>Marketing / Advertising</t>
  </si>
  <si>
    <t>Equipment Depreciation / Maintenance</t>
  </si>
  <si>
    <t>Vehicle Insurance / Fixed Vehicle Costs</t>
  </si>
  <si>
    <t>Office / Administrative</t>
  </si>
  <si>
    <t>Other Monthly Overhead</t>
  </si>
  <si>
    <t>TOTAL MONTHLY OVERHEAD</t>
  </si>
  <si>
    <t>Allocation Input</t>
  </si>
  <si>
    <t>Value</t>
  </si>
  <si>
    <t>Expected Productive / Billable Labor Hours per Month</t>
  </si>
  <si>
    <t>Overhead Cost per Productive Labor Hour</t>
  </si>
  <si>
    <t>Optional Minimum Overhead per Catering Event</t>
  </si>
  <si>
    <t>How this works: your monthly overhead is divided by your expected productive labor hours. The Catering Costing sheet multiplies that hourly overhead rate by the total labor hours used for an event. If you enter a minimum overhead per event, the calculator uses the higher of the labor-hour allocation or that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</si>
</sst>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0000"/>
    <numFmt numFmtId="167" formatCode="0.0%"/>
  </numFmts>
  <fonts count="5">
    <font>
      <sz val="11"/>
      <name val="Carlito"/>
    </font>
    <font>
      <b/>
      <sz val="16"/>
      <color rgb="FFFFFFFF"/>
      <name val="Carlito"/>
    </font>
    <font>
      <i/>
      <sz val="11"/>
      <name val="Carlito"/>
    </font>
    <font>
      <b/>
      <sz val="11"/>
      <name val="Carlito"/>
    </font>
    <font>
      <b/>
      <sz val="11"/>
      <color rgb="FFFFFFFF"/>
      <name val="Carlito"/>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E7E6E6"/>
      </patternFill>
    </fill>
    <fill>
      <patternFill patternType="solid">
        <fgColor rgb="FFE2F0D9"/>
      </patternFill>
    </fill>
    <fill>
      <patternFill patternType="solid">
        <fgColor rgb="FFF4B183"/>
      </patternFill>
    </fill>
    <fill>
      <patternFill patternType="solid">
        <fgColor rgb="FFFFF2CC"/>
      </patternFill>
    </fill>
    <fill>
      <patternFill patternType="solid">
        <fgColor rgb="FFFCE4D6"/>
      </patternFill>
    </fill>
    <fill>
      <patternFill patternType="solid">
        <fgColor rgb="FFFFD966"/>
      </patternFill>
    </fill>
  </fills>
  <borders count="9">
    <border>
      <left/>
      <right/>
      <top/>
      <bottom/>
      <diagonal/>
    </border>
    <border>
      <left style="thin">
        <color rgb="FFB7B7B7"/>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right/>
      <top style="thin">
        <color rgb="FFB7B7B7"/>
      </top>
      <bottom/>
      <diagonal/>
    </border>
    <border>
      <left/>
      <right/>
      <top/>
      <bottom style="thin">
        <color rgb="FFB7B7B7"/>
      </bottom>
      <diagonal/>
    </border>
  </borders>
  <cellStyleXfs count="1">
    <xf numFmtId="0" fontId="0" fillId="0" borderId="0"/>
  </cellStyleXfs>
  <cellXfs count="60">
    <xf numFmtId="0" fontId="0" fillId="0" borderId="0" xfId="0"/>
    <xf numFmtId="0" fontId="3" fillId="4" borderId="1" xfId="0" applyNumberFormat="1" applyFont="1" applyFill="1" applyBorder="1" applyAlignment="1">
      <alignment horizontal="center" vertical="center"/>
    </xf>
    <xf numFmtId="0" fontId="3" fillId="4" borderId="2" xfId="0" applyNumberFormat="1" applyFont="1" applyFill="1" applyBorder="1" applyAlignment="1">
      <alignment horizontal="center" vertical="center"/>
    </xf>
    <xf numFmtId="0" fontId="0" fillId="0" borderId="3" xfId="0" applyNumberFormat="1" applyFont="1" applyFill="1" applyBorder="1"/>
    <xf numFmtId="164" fontId="0" fillId="5" borderId="4" xfId="0" applyNumberFormat="1" applyFont="1" applyFill="1" applyBorder="1"/>
    <xf numFmtId="0" fontId="3" fillId="6" borderId="5" xfId="0" applyNumberFormat="1" applyFont="1" applyFill="1" applyBorder="1"/>
    <xf numFmtId="164" fontId="3" fillId="6" borderId="6" xfId="0" applyNumberFormat="1" applyFont="1" applyFill="1" applyBorder="1"/>
    <xf numFmtId="2" fontId="0" fillId="7" borderId="4" xfId="0" applyNumberFormat="1" applyFont="1" applyFill="1" applyBorder="1"/>
    <xf numFmtId="0" fontId="3" fillId="8" borderId="3" xfId="0" applyNumberFormat="1" applyFont="1" applyFill="1" applyBorder="1"/>
    <xf numFmtId="164" fontId="0" fillId="8" borderId="4" xfId="0" applyNumberFormat="1" applyFont="1" applyFill="1" applyBorder="1"/>
    <xf numFmtId="0" fontId="0" fillId="0" borderId="5" xfId="0" applyNumberFormat="1" applyFont="1" applyFill="1" applyBorder="1"/>
    <xf numFmtId="164" fontId="0" fillId="7" borderId="6" xfId="0" applyNumberFormat="1" applyFont="1" applyFill="1" applyBorder="1"/>
    <xf numFmtId="0" fontId="0" fillId="0" borderId="0" xfId="0" applyNumberFormat="1" applyFont="1" applyFill="1" applyBorder="1" applyAlignment="1">
      <alignment wrapText="1"/>
    </xf>
    <xf numFmtId="0" fontId="3" fillId="3" borderId="0" xfId="0" applyNumberFormat="1" applyFont="1" applyFill="1" applyBorder="1" applyAlignment="1">
      <alignment wrapText="1"/>
    </xf>
    <xf numFmtId="0" fontId="0" fillId="5" borderId="0" xfId="0" applyNumberFormat="1" applyFont="1" applyFill="1" applyBorder="1" applyAlignment="1">
      <alignment wrapText="1"/>
    </xf>
    <xf numFmtId="165" fontId="0" fillId="5" borderId="0" xfId="0" applyNumberFormat="1" applyFont="1" applyFill="1" applyBorder="1" applyAlignment="1">
      <alignment wrapText="1"/>
    </xf>
    <xf numFmtId="1" fontId="0" fillId="5" borderId="0" xfId="0" applyNumberFormat="1" applyFont="1" applyFill="1" applyBorder="1" applyAlignment="1">
      <alignment wrapText="1"/>
    </xf>
    <xf numFmtId="2" fontId="0" fillId="5" borderId="0" xfId="0" applyNumberFormat="1" applyFont="1" applyFill="1" applyBorder="1" applyAlignment="1">
      <alignment wrapText="1"/>
    </xf>
    <xf numFmtId="0" fontId="3" fillId="4" borderId="1" xfId="0" applyNumberFormat="1" applyFont="1" applyFill="1" applyBorder="1" applyAlignment="1">
      <alignment horizontal="center" vertical="center" wrapText="1"/>
    </xf>
    <xf numFmtId="0" fontId="3" fillId="4" borderId="7" xfId="0" applyNumberFormat="1" applyFont="1" applyFill="1" applyBorder="1" applyAlignment="1">
      <alignment horizontal="center" vertical="center" wrapText="1"/>
    </xf>
    <xf numFmtId="0" fontId="3" fillId="4" borderId="2" xfId="0" applyNumberFormat="1" applyFont="1" applyFill="1" applyBorder="1" applyAlignment="1">
      <alignment horizontal="center" vertical="center" wrapText="1"/>
    </xf>
    <xf numFmtId="0" fontId="0" fillId="5" borderId="3" xfId="0" applyNumberFormat="1" applyFont="1" applyFill="1" applyBorder="1" applyAlignment="1">
      <alignment wrapText="1"/>
    </xf>
    <xf numFmtId="164" fontId="0" fillId="5" borderId="0" xfId="0" applyNumberFormat="1" applyFont="1" applyFill="1" applyBorder="1" applyAlignment="1">
      <alignment wrapText="1"/>
    </xf>
    <xf numFmtId="166" fontId="0" fillId="8" borderId="0" xfId="0" applyNumberFormat="1" applyFont="1" applyFill="1" applyBorder="1" applyAlignment="1">
      <alignment wrapText="1"/>
    </xf>
    <xf numFmtId="167" fontId="0" fillId="5" borderId="0" xfId="0" applyNumberFormat="1" applyFont="1" applyFill="1" applyBorder="1" applyAlignment="1">
      <alignment wrapText="1"/>
    </xf>
    <xf numFmtId="164" fontId="0" fillId="8" borderId="0" xfId="0" applyNumberFormat="1" applyFont="1" applyFill="1" applyBorder="1" applyAlignment="1">
      <alignment wrapText="1"/>
    </xf>
    <xf numFmtId="164" fontId="0" fillId="8" borderId="4" xfId="0" applyNumberFormat="1" applyFont="1" applyFill="1" applyBorder="1" applyAlignment="1">
      <alignment wrapText="1"/>
    </xf>
    <xf numFmtId="164" fontId="3" fillId="6" borderId="8" xfId="0" applyNumberFormat="1" applyFont="1" applyFill="1" applyBorder="1" applyAlignment="1">
      <alignment wrapText="1"/>
    </xf>
    <xf numFmtId="164" fontId="3" fillId="6" borderId="6" xfId="0" applyNumberFormat="1" applyFont="1" applyFill="1" applyBorder="1" applyAlignment="1">
      <alignment wrapText="1"/>
    </xf>
    <xf numFmtId="0" fontId="0" fillId="0" borderId="3" xfId="0" applyNumberFormat="1" applyFont="1" applyFill="1" applyBorder="1" applyAlignment="1">
      <alignment wrapText="1"/>
    </xf>
    <xf numFmtId="2" fontId="0" fillId="8" borderId="0" xfId="0" applyNumberFormat="1" applyFont="1" applyFill="1" applyBorder="1" applyAlignment="1">
      <alignment wrapText="1"/>
    </xf>
    <xf numFmtId="164" fontId="0" fillId="5" borderId="4" xfId="0" applyNumberFormat="1" applyFont="1" applyFill="1" applyBorder="1" applyAlignment="1">
      <alignment wrapText="1"/>
    </xf>
    <xf numFmtId="2" fontId="3" fillId="6" borderId="8" xfId="0" applyNumberFormat="1" applyFont="1" applyFill="1" applyBorder="1" applyAlignment="1">
      <alignment wrapText="1"/>
    </xf>
    <xf numFmtId="0" fontId="0" fillId="0" borderId="4" xfId="0" applyNumberFormat="1" applyFont="1" applyFill="1" applyBorder="1" applyAlignment="1">
      <alignment wrapText="1"/>
    </xf>
    <xf numFmtId="0" fontId="0" fillId="4" borderId="1" xfId="0" applyNumberFormat="1" applyFont="1" applyFill="1" applyBorder="1" applyAlignment="1">
      <alignment wrapText="1"/>
    </xf>
    <xf numFmtId="0" fontId="0" fillId="4" borderId="7" xfId="0" applyNumberFormat="1" applyFont="1" applyFill="1" applyBorder="1" applyAlignment="1">
      <alignment wrapText="1"/>
    </xf>
    <xf numFmtId="164" fontId="0" fillId="8" borderId="2" xfId="0" applyNumberFormat="1" applyFont="1" applyFill="1" applyBorder="1" applyAlignment="1">
      <alignment wrapText="1"/>
    </xf>
    <xf numFmtId="0" fontId="0" fillId="4" borderId="3" xfId="0" applyNumberFormat="1" applyFont="1" applyFill="1" applyBorder="1" applyAlignment="1">
      <alignment wrapText="1"/>
    </xf>
    <xf numFmtId="0" fontId="0" fillId="4" borderId="0" xfId="0" applyNumberFormat="1" applyFont="1" applyFill="1" applyBorder="1" applyAlignment="1">
      <alignment wrapText="1"/>
    </xf>
    <xf numFmtId="2" fontId="0" fillId="8" borderId="4" xfId="0" applyNumberFormat="1" applyFont="1" applyFill="1" applyBorder="1" applyAlignment="1">
      <alignment wrapText="1"/>
    </xf>
    <xf numFmtId="164" fontId="0" fillId="0" borderId="0" xfId="0" applyNumberFormat="1" applyFont="1" applyFill="1" applyBorder="1" applyAlignment="1">
      <alignment wrapText="1"/>
    </xf>
    <xf numFmtId="164" fontId="0" fillId="7" borderId="4" xfId="0" applyNumberFormat="1" applyFont="1" applyFill="1" applyBorder="1" applyAlignment="1">
      <alignment wrapText="1"/>
    </xf>
    <xf numFmtId="0" fontId="0" fillId="4" borderId="5" xfId="0" applyNumberFormat="1" applyFont="1" applyFill="1" applyBorder="1" applyAlignment="1">
      <alignment wrapText="1"/>
    </xf>
    <xf numFmtId="0" fontId="0" fillId="4" borderId="8" xfId="0" applyNumberFormat="1" applyFont="1" applyFill="1" applyBorder="1" applyAlignment="1">
      <alignment wrapText="1"/>
    </xf>
    <xf numFmtId="0" fontId="3" fillId="4" borderId="3" xfId="0" applyNumberFormat="1" applyFont="1" applyFill="1" applyBorder="1" applyAlignment="1">
      <alignment wrapText="1"/>
    </xf>
    <xf numFmtId="0" fontId="3" fillId="4" borderId="0" xfId="0" applyNumberFormat="1" applyFont="1" applyFill="1" applyBorder="1" applyAlignment="1">
      <alignment wrapText="1"/>
    </xf>
    <xf numFmtId="164" fontId="3" fillId="8" borderId="4" xfId="0" applyNumberFormat="1" applyFont="1" applyFill="1" applyBorder="1" applyAlignment="1">
      <alignment wrapText="1"/>
    </xf>
    <xf numFmtId="167" fontId="0" fillId="7" borderId="4" xfId="0" applyNumberFormat="1" applyFont="1" applyFill="1" applyBorder="1" applyAlignment="1">
      <alignment wrapText="1"/>
    </xf>
    <xf numFmtId="164" fontId="3" fillId="9" borderId="4" xfId="0" applyNumberFormat="1" applyFont="1" applyFill="1" applyBorder="1" applyAlignment="1">
      <alignment wrapText="1"/>
    </xf>
    <xf numFmtId="167" fontId="0" fillId="8" borderId="4" xfId="0" applyNumberFormat="1" applyFont="1" applyFill="1" applyBorder="1" applyAlignment="1">
      <alignment wrapText="1"/>
    </xf>
    <xf numFmtId="167" fontId="0" fillId="8" borderId="6" xfId="0" applyNumberFormat="1" applyFont="1" applyFill="1" applyBorder="1" applyAlignment="1">
      <alignment wrapText="1"/>
    </xf>
    <xf numFmtId="0" fontId="1" fillId="2" borderId="0" xfId="0" applyNumberFormat="1" applyFont="1" applyFill="1" applyBorder="1" applyAlignment="1">
      <alignment horizontal="center" vertical="center" wrapText="1"/>
    </xf>
    <xf numFmtId="0" fontId="0" fillId="5" borderId="0" xfId="0" applyNumberFormat="1" applyFont="1" applyFill="1" applyBorder="1" applyAlignment="1">
      <alignment wrapText="1"/>
    </xf>
    <xf numFmtId="0" fontId="4" fillId="2" borderId="0" xfId="0" applyNumberFormat="1" applyFont="1" applyFill="1" applyBorder="1" applyAlignment="1">
      <alignment horizontal="center" vertical="center" wrapText="1"/>
    </xf>
    <xf numFmtId="0" fontId="3" fillId="6" borderId="5" xfId="0" applyNumberFormat="1" applyFont="1" applyFill="1" applyBorder="1" applyAlignment="1">
      <alignment wrapText="1"/>
    </xf>
    <xf numFmtId="0" fontId="3" fillId="6" borderId="8" xfId="0" applyNumberFormat="1" applyFont="1" applyFill="1" applyBorder="1" applyAlignment="1">
      <alignment wrapText="1"/>
    </xf>
    <xf numFmtId="164" fontId="3" fillId="6" borderId="8" xfId="0" applyNumberFormat="1" applyFont="1" applyFill="1" applyBorder="1" applyAlignment="1">
      <alignment wrapText="1"/>
    </xf>
    <xf numFmtId="0" fontId="0" fillId="7" borderId="0" xfId="0" applyNumberFormat="1" applyFont="1" applyFill="1" applyBorder="1" applyAlignment="1">
      <alignment vertical="top"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
  <sheetViews>
    <sheetView tabSelected="1" topLeftCell="A31" workbookViewId="0">
      <selection sqref="A1:J1"/>
    </sheetView>
  </sheetViews>
  <sheetFormatPr defaultRowHeight="14.25"/>
  <cols>
    <col min="1" max="1" width="25" customWidth="1"/>
    <col min="2" max="2" width="15" customWidth="1"/>
    <col min="3" max="3" width="13" customWidth="1"/>
    <col min="4" max="5" width="15" customWidth="1"/>
    <col min="6" max="6" width="24" customWidth="1"/>
    <col min="7" max="7" width="15" customWidth="1"/>
    <col min="8" max="8" width="28" customWidth="1"/>
    <col min="9" max="9" width="17" customWidth="1"/>
    <col min="10" max="10" width="16" customWidth="1"/>
  </cols>
  <sheetData>
    <row r="1" spans="1:10" ht="27.95" customHeight="1">
      <c r="A1" s="51" t="s">
        <v>0</v>
      </c>
      <c r="B1" s="51"/>
      <c r="C1" s="51"/>
      <c r="D1" s="51"/>
      <c r="E1" s="51"/>
      <c r="F1" s="51"/>
      <c r="G1" s="51"/>
      <c r="H1" s="51"/>
      <c r="I1" s="51"/>
      <c r="J1" s="51"/>
    </row>
    <row r="2" spans="1:10">
      <c r="A2" s="12"/>
      <c r="B2" s="12"/>
      <c r="C2" s="12"/>
      <c r="D2" s="12"/>
      <c r="E2" s="12"/>
      <c r="F2" s="12"/>
      <c r="G2" s="12"/>
      <c r="H2" s="12"/>
      <c r="I2" s="12"/>
      <c r="J2" s="12"/>
    </row>
    <row r="3" spans="1:10" ht="15">
      <c r="A3" s="13" t="s">
        <v>1</v>
      </c>
      <c r="B3" s="52"/>
      <c r="C3" s="52"/>
      <c r="D3" s="13" t="s">
        <v>2</v>
      </c>
      <c r="E3" s="15"/>
      <c r="F3" s="13" t="s">
        <v>3</v>
      </c>
      <c r="G3" s="16"/>
      <c r="H3" s="13" t="s">
        <v>4</v>
      </c>
      <c r="I3" s="52"/>
      <c r="J3" s="52"/>
    </row>
    <row r="4" spans="1:10" ht="15">
      <c r="A4" s="13" t="s">
        <v>5</v>
      </c>
      <c r="B4" s="52"/>
      <c r="C4" s="52"/>
      <c r="D4" s="13" t="s">
        <v>6</v>
      </c>
      <c r="E4" s="14"/>
      <c r="F4" s="13" t="s">
        <v>7</v>
      </c>
      <c r="G4" s="17"/>
      <c r="H4" s="13" t="s">
        <v>8</v>
      </c>
      <c r="I4" s="52"/>
      <c r="J4" s="52"/>
    </row>
    <row r="5" spans="1:10">
      <c r="A5" s="12"/>
      <c r="B5" s="12"/>
      <c r="C5" s="12"/>
      <c r="D5" s="12"/>
      <c r="E5" s="12"/>
      <c r="F5" s="12"/>
      <c r="G5" s="12"/>
      <c r="H5" s="12"/>
      <c r="I5" s="12"/>
      <c r="J5" s="12"/>
    </row>
    <row r="6" spans="1:10">
      <c r="A6" s="12"/>
      <c r="B6" s="12"/>
      <c r="C6" s="12"/>
      <c r="D6" s="12"/>
      <c r="E6" s="12"/>
      <c r="F6" s="12"/>
      <c r="G6" s="12"/>
      <c r="H6" s="12"/>
      <c r="I6" s="12"/>
      <c r="J6" s="12"/>
    </row>
    <row r="7" spans="1:10" ht="15">
      <c r="A7" s="53" t="s">
        <v>9</v>
      </c>
      <c r="B7" s="53"/>
      <c r="C7" s="53"/>
      <c r="D7" s="53"/>
      <c r="E7" s="53"/>
      <c r="F7" s="53"/>
      <c r="G7" s="53"/>
      <c r="H7" s="53"/>
      <c r="I7" s="12"/>
      <c r="J7" s="12"/>
    </row>
    <row r="8" spans="1:10" ht="30">
      <c r="A8" s="18" t="s">
        <v>10</v>
      </c>
      <c r="B8" s="19" t="s">
        <v>11</v>
      </c>
      <c r="C8" s="19" t="s">
        <v>12</v>
      </c>
      <c r="D8" s="19" t="s">
        <v>13</v>
      </c>
      <c r="E8" s="19" t="s">
        <v>14</v>
      </c>
      <c r="F8" s="19" t="s">
        <v>15</v>
      </c>
      <c r="G8" s="19" t="s">
        <v>16</v>
      </c>
      <c r="H8" s="20" t="s">
        <v>17</v>
      </c>
      <c r="I8" s="12"/>
      <c r="J8" s="12"/>
    </row>
    <row r="9" spans="1:10">
      <c r="A9" s="21"/>
      <c r="B9" s="22"/>
      <c r="C9" s="17"/>
      <c r="D9" s="23">
        <f t="shared" ref="D9:D23" si="0">IFERROR(B9/C9,0)</f>
        <v>0</v>
      </c>
      <c r="E9" s="17"/>
      <c r="F9" s="24"/>
      <c r="G9" s="25">
        <f t="shared" ref="G9:G23" si="1">D9*E9</f>
        <v>0</v>
      </c>
      <c r="H9" s="26">
        <f t="shared" ref="H9:H23" si="2">G9*(1+F9)</f>
        <v>0</v>
      </c>
      <c r="I9" s="12"/>
      <c r="J9" s="12"/>
    </row>
    <row r="10" spans="1:10">
      <c r="A10" s="21"/>
      <c r="B10" s="22"/>
      <c r="C10" s="17"/>
      <c r="D10" s="23">
        <f t="shared" si="0"/>
        <v>0</v>
      </c>
      <c r="E10" s="17"/>
      <c r="F10" s="24"/>
      <c r="G10" s="25">
        <f t="shared" si="1"/>
        <v>0</v>
      </c>
      <c r="H10" s="26">
        <f t="shared" si="2"/>
        <v>0</v>
      </c>
      <c r="I10" s="12"/>
      <c r="J10" s="12"/>
    </row>
    <row r="11" spans="1:10">
      <c r="A11" s="21"/>
      <c r="B11" s="22"/>
      <c r="C11" s="17"/>
      <c r="D11" s="23">
        <f t="shared" si="0"/>
        <v>0</v>
      </c>
      <c r="E11" s="17"/>
      <c r="F11" s="24"/>
      <c r="G11" s="25">
        <f t="shared" si="1"/>
        <v>0</v>
      </c>
      <c r="H11" s="26">
        <f t="shared" si="2"/>
        <v>0</v>
      </c>
      <c r="I11" s="12"/>
      <c r="J11" s="12"/>
    </row>
    <row r="12" spans="1:10">
      <c r="A12" s="21"/>
      <c r="B12" s="22"/>
      <c r="C12" s="17"/>
      <c r="D12" s="23">
        <f t="shared" si="0"/>
        <v>0</v>
      </c>
      <c r="E12" s="17"/>
      <c r="F12" s="24"/>
      <c r="G12" s="25">
        <f t="shared" si="1"/>
        <v>0</v>
      </c>
      <c r="H12" s="26">
        <f t="shared" si="2"/>
        <v>0</v>
      </c>
      <c r="I12" s="12"/>
      <c r="J12" s="12"/>
    </row>
    <row r="13" spans="1:10">
      <c r="A13" s="21"/>
      <c r="B13" s="22"/>
      <c r="C13" s="17"/>
      <c r="D13" s="23">
        <f t="shared" si="0"/>
        <v>0</v>
      </c>
      <c r="E13" s="17"/>
      <c r="F13" s="24"/>
      <c r="G13" s="25">
        <f t="shared" si="1"/>
        <v>0</v>
      </c>
      <c r="H13" s="26">
        <f t="shared" si="2"/>
        <v>0</v>
      </c>
      <c r="I13" s="12"/>
      <c r="J13" s="12"/>
    </row>
    <row r="14" spans="1:10">
      <c r="A14" s="21"/>
      <c r="B14" s="22"/>
      <c r="C14" s="17"/>
      <c r="D14" s="23">
        <f t="shared" si="0"/>
        <v>0</v>
      </c>
      <c r="E14" s="17"/>
      <c r="F14" s="24"/>
      <c r="G14" s="25">
        <f t="shared" si="1"/>
        <v>0</v>
      </c>
      <c r="H14" s="26">
        <f t="shared" si="2"/>
        <v>0</v>
      </c>
      <c r="I14" s="12"/>
      <c r="J14" s="12"/>
    </row>
    <row r="15" spans="1:10">
      <c r="A15" s="21"/>
      <c r="B15" s="22"/>
      <c r="C15" s="17"/>
      <c r="D15" s="23">
        <f t="shared" si="0"/>
        <v>0</v>
      </c>
      <c r="E15" s="17"/>
      <c r="F15" s="24"/>
      <c r="G15" s="25">
        <f t="shared" si="1"/>
        <v>0</v>
      </c>
      <c r="H15" s="26">
        <f t="shared" si="2"/>
        <v>0</v>
      </c>
      <c r="I15" s="12"/>
      <c r="J15" s="12"/>
    </row>
    <row r="16" spans="1:10">
      <c r="A16" s="21"/>
      <c r="B16" s="22"/>
      <c r="C16" s="17"/>
      <c r="D16" s="23">
        <f t="shared" si="0"/>
        <v>0</v>
      </c>
      <c r="E16" s="17"/>
      <c r="F16" s="24"/>
      <c r="G16" s="25">
        <f t="shared" si="1"/>
        <v>0</v>
      </c>
      <c r="H16" s="26">
        <f t="shared" si="2"/>
        <v>0</v>
      </c>
      <c r="I16" s="12"/>
      <c r="J16" s="12"/>
    </row>
    <row r="17" spans="1:10">
      <c r="A17" s="21"/>
      <c r="B17" s="22"/>
      <c r="C17" s="17"/>
      <c r="D17" s="23">
        <f t="shared" si="0"/>
        <v>0</v>
      </c>
      <c r="E17" s="17"/>
      <c r="F17" s="24"/>
      <c r="G17" s="25">
        <f t="shared" si="1"/>
        <v>0</v>
      </c>
      <c r="H17" s="26">
        <f t="shared" si="2"/>
        <v>0</v>
      </c>
      <c r="I17" s="12"/>
      <c r="J17" s="12"/>
    </row>
    <row r="18" spans="1:10">
      <c r="A18" s="21"/>
      <c r="B18" s="22"/>
      <c r="C18" s="17"/>
      <c r="D18" s="23">
        <f t="shared" si="0"/>
        <v>0</v>
      </c>
      <c r="E18" s="17"/>
      <c r="F18" s="24"/>
      <c r="G18" s="25">
        <f t="shared" si="1"/>
        <v>0</v>
      </c>
      <c r="H18" s="26">
        <f t="shared" si="2"/>
        <v>0</v>
      </c>
      <c r="I18" s="12"/>
      <c r="J18" s="12"/>
    </row>
    <row r="19" spans="1:10">
      <c r="A19" s="21"/>
      <c r="B19" s="22"/>
      <c r="C19" s="17"/>
      <c r="D19" s="23">
        <f t="shared" si="0"/>
        <v>0</v>
      </c>
      <c r="E19" s="17"/>
      <c r="F19" s="24"/>
      <c r="G19" s="25">
        <f t="shared" si="1"/>
        <v>0</v>
      </c>
      <c r="H19" s="26">
        <f t="shared" si="2"/>
        <v>0</v>
      </c>
      <c r="I19" s="12"/>
      <c r="J19" s="12"/>
    </row>
    <row r="20" spans="1:10">
      <c r="A20" s="21"/>
      <c r="B20" s="22"/>
      <c r="C20" s="17"/>
      <c r="D20" s="23">
        <f t="shared" si="0"/>
        <v>0</v>
      </c>
      <c r="E20" s="17"/>
      <c r="F20" s="24"/>
      <c r="G20" s="25">
        <f t="shared" si="1"/>
        <v>0</v>
      </c>
      <c r="H20" s="26">
        <f t="shared" si="2"/>
        <v>0</v>
      </c>
      <c r="I20" s="12"/>
      <c r="J20" s="12"/>
    </row>
    <row r="21" spans="1:10">
      <c r="A21" s="21"/>
      <c r="B21" s="22"/>
      <c r="C21" s="17"/>
      <c r="D21" s="23">
        <f t="shared" si="0"/>
        <v>0</v>
      </c>
      <c r="E21" s="17"/>
      <c r="F21" s="24"/>
      <c r="G21" s="25">
        <f t="shared" si="1"/>
        <v>0</v>
      </c>
      <c r="H21" s="26">
        <f t="shared" si="2"/>
        <v>0</v>
      </c>
      <c r="I21" s="12"/>
      <c r="J21" s="12"/>
    </row>
    <row r="22" spans="1:10">
      <c r="A22" s="21"/>
      <c r="B22" s="22"/>
      <c r="C22" s="17"/>
      <c r="D22" s="23">
        <f t="shared" si="0"/>
        <v>0</v>
      </c>
      <c r="E22" s="17"/>
      <c r="F22" s="24"/>
      <c r="G22" s="25">
        <f t="shared" si="1"/>
        <v>0</v>
      </c>
      <c r="H22" s="26">
        <f t="shared" si="2"/>
        <v>0</v>
      </c>
      <c r="I22" s="12"/>
      <c r="J22" s="12"/>
    </row>
    <row r="23" spans="1:10">
      <c r="A23" s="21"/>
      <c r="B23" s="22"/>
      <c r="C23" s="17"/>
      <c r="D23" s="23">
        <f t="shared" si="0"/>
        <v>0</v>
      </c>
      <c r="E23" s="17"/>
      <c r="F23" s="24"/>
      <c r="G23" s="25">
        <f t="shared" si="1"/>
        <v>0</v>
      </c>
      <c r="H23" s="26">
        <f t="shared" si="2"/>
        <v>0</v>
      </c>
      <c r="I23" s="12"/>
      <c r="J23" s="12"/>
    </row>
    <row r="24" spans="1:10" ht="15">
      <c r="A24" s="54" t="s">
        <v>18</v>
      </c>
      <c r="B24" s="55"/>
      <c r="C24" s="55"/>
      <c r="D24" s="55"/>
      <c r="E24" s="55"/>
      <c r="F24" s="55"/>
      <c r="G24" s="56"/>
      <c r="H24" s="28">
        <f>SUM(H9:H23)</f>
        <v>0</v>
      </c>
      <c r="I24" s="12"/>
      <c r="J24" s="12"/>
    </row>
    <row r="25" spans="1:10">
      <c r="A25" s="12"/>
      <c r="B25" s="12"/>
      <c r="C25" s="12"/>
      <c r="D25" s="12"/>
      <c r="E25" s="12"/>
      <c r="F25" s="12"/>
      <c r="G25" s="12"/>
      <c r="H25" s="12"/>
      <c r="I25" s="12"/>
      <c r="J25" s="12"/>
    </row>
    <row r="26" spans="1:10">
      <c r="A26" s="12"/>
      <c r="B26" s="12"/>
      <c r="C26" s="12"/>
      <c r="D26" s="12"/>
      <c r="E26" s="12"/>
      <c r="F26" s="12"/>
      <c r="G26" s="12"/>
      <c r="H26" s="12"/>
      <c r="I26" s="12"/>
      <c r="J26" s="12"/>
    </row>
    <row r="27" spans="1:10" ht="15">
      <c r="A27" s="53" t="s">
        <v>19</v>
      </c>
      <c r="B27" s="53"/>
      <c r="C27" s="53"/>
      <c r="D27" s="53"/>
      <c r="E27" s="53"/>
      <c r="F27" s="53"/>
      <c r="G27" s="12"/>
      <c r="H27" s="53" t="s">
        <v>20</v>
      </c>
      <c r="I27" s="53"/>
      <c r="J27" s="53"/>
    </row>
    <row r="28" spans="1:10" ht="15">
      <c r="A28" s="18" t="s">
        <v>21</v>
      </c>
      <c r="B28" s="19" t="s">
        <v>22</v>
      </c>
      <c r="C28" s="19" t="s">
        <v>23</v>
      </c>
      <c r="D28" s="19" t="s">
        <v>24</v>
      </c>
      <c r="E28" s="19" t="s">
        <v>25</v>
      </c>
      <c r="F28" s="20" t="s">
        <v>26</v>
      </c>
      <c r="G28" s="12"/>
      <c r="H28" s="18" t="s">
        <v>27</v>
      </c>
      <c r="I28" s="19" t="s">
        <v>28</v>
      </c>
      <c r="J28" s="20" t="s">
        <v>29</v>
      </c>
    </row>
    <row r="29" spans="1:10">
      <c r="A29" s="29" t="s">
        <v>30</v>
      </c>
      <c r="B29" s="17"/>
      <c r="C29" s="17"/>
      <c r="D29" s="30">
        <f t="shared" ref="D29:D36" si="3">B29*C29</f>
        <v>0</v>
      </c>
      <c r="E29" s="22"/>
      <c r="F29" s="26">
        <f t="shared" ref="F29:F36" si="4">D29*E29</f>
        <v>0</v>
      </c>
      <c r="G29" s="12"/>
      <c r="H29" s="29" t="s">
        <v>31</v>
      </c>
      <c r="I29" s="17"/>
      <c r="J29" s="31"/>
    </row>
    <row r="30" spans="1:10">
      <c r="A30" s="29" t="s">
        <v>32</v>
      </c>
      <c r="B30" s="17"/>
      <c r="C30" s="17"/>
      <c r="D30" s="30">
        <f t="shared" si="3"/>
        <v>0</v>
      </c>
      <c r="E30" s="22"/>
      <c r="F30" s="26">
        <f t="shared" si="4"/>
        <v>0</v>
      </c>
      <c r="G30" s="12"/>
      <c r="H30" s="29" t="s">
        <v>33</v>
      </c>
      <c r="I30" s="17"/>
      <c r="J30" s="31"/>
    </row>
    <row r="31" spans="1:10">
      <c r="A31" s="29" t="s">
        <v>34</v>
      </c>
      <c r="B31" s="17"/>
      <c r="C31" s="17"/>
      <c r="D31" s="30">
        <f t="shared" si="3"/>
        <v>0</v>
      </c>
      <c r="E31" s="22"/>
      <c r="F31" s="26">
        <f t="shared" si="4"/>
        <v>0</v>
      </c>
      <c r="G31" s="12"/>
      <c r="H31" s="29" t="s">
        <v>35</v>
      </c>
      <c r="I31" s="17"/>
      <c r="J31" s="31"/>
    </row>
    <row r="32" spans="1:10">
      <c r="A32" s="29" t="s">
        <v>36</v>
      </c>
      <c r="B32" s="17"/>
      <c r="C32" s="17"/>
      <c r="D32" s="30">
        <f t="shared" si="3"/>
        <v>0</v>
      </c>
      <c r="E32" s="22"/>
      <c r="F32" s="26">
        <f t="shared" si="4"/>
        <v>0</v>
      </c>
      <c r="G32" s="12"/>
      <c r="H32" s="29" t="s">
        <v>37</v>
      </c>
      <c r="I32" s="17"/>
      <c r="J32" s="31"/>
    </row>
    <row r="33" spans="1:10">
      <c r="A33" s="29" t="s">
        <v>38</v>
      </c>
      <c r="B33" s="17"/>
      <c r="C33" s="17"/>
      <c r="D33" s="30">
        <f t="shared" si="3"/>
        <v>0</v>
      </c>
      <c r="E33" s="22"/>
      <c r="F33" s="26">
        <f t="shared" si="4"/>
        <v>0</v>
      </c>
      <c r="G33" s="12"/>
      <c r="H33" s="29" t="s">
        <v>39</v>
      </c>
      <c r="I33" s="17"/>
      <c r="J33" s="31"/>
    </row>
    <row r="34" spans="1:10">
      <c r="A34" s="29" t="s">
        <v>40</v>
      </c>
      <c r="B34" s="17"/>
      <c r="C34" s="17"/>
      <c r="D34" s="30">
        <f t="shared" si="3"/>
        <v>0</v>
      </c>
      <c r="E34" s="22"/>
      <c r="F34" s="26">
        <f t="shared" si="4"/>
        <v>0</v>
      </c>
      <c r="G34" s="12"/>
      <c r="H34" s="29" t="s">
        <v>41</v>
      </c>
      <c r="I34" s="17"/>
      <c r="J34" s="31"/>
    </row>
    <row r="35" spans="1:10">
      <c r="A35" s="29" t="s">
        <v>42</v>
      </c>
      <c r="B35" s="17"/>
      <c r="C35" s="17"/>
      <c r="D35" s="30">
        <f t="shared" si="3"/>
        <v>0</v>
      </c>
      <c r="E35" s="22"/>
      <c r="F35" s="26">
        <f t="shared" si="4"/>
        <v>0</v>
      </c>
      <c r="G35" s="12"/>
      <c r="H35" s="29" t="s">
        <v>43</v>
      </c>
      <c r="I35" s="17"/>
      <c r="J35" s="31"/>
    </row>
    <row r="36" spans="1:10">
      <c r="A36" s="29" t="s">
        <v>44</v>
      </c>
      <c r="B36" s="17"/>
      <c r="C36" s="17"/>
      <c r="D36" s="30">
        <f t="shared" si="3"/>
        <v>0</v>
      </c>
      <c r="E36" s="22"/>
      <c r="F36" s="26">
        <f t="shared" si="4"/>
        <v>0</v>
      </c>
      <c r="G36" s="12"/>
      <c r="H36" s="29" t="s">
        <v>45</v>
      </c>
      <c r="I36" s="17"/>
      <c r="J36" s="31"/>
    </row>
    <row r="37" spans="1:10" ht="15">
      <c r="A37" s="54" t="s">
        <v>46</v>
      </c>
      <c r="B37" s="55"/>
      <c r="C37" s="55"/>
      <c r="D37" s="32">
        <f>SUM(D29:D36)</f>
        <v>0</v>
      </c>
      <c r="E37" s="27" t="s">
        <v>47</v>
      </c>
      <c r="F37" s="28">
        <f>SUM(F29:F36)</f>
        <v>0</v>
      </c>
      <c r="G37" s="12"/>
      <c r="H37" s="29" t="s">
        <v>48</v>
      </c>
      <c r="I37" s="17"/>
      <c r="J37" s="31"/>
    </row>
    <row r="38" spans="1:10">
      <c r="A38" s="12"/>
      <c r="B38" s="12"/>
      <c r="C38" s="12"/>
      <c r="D38" s="12"/>
      <c r="E38" s="12"/>
      <c r="F38" s="12"/>
      <c r="G38" s="12"/>
      <c r="H38" s="29" t="s">
        <v>49</v>
      </c>
      <c r="I38" s="17"/>
      <c r="J38" s="31"/>
    </row>
    <row r="39" spans="1:10" ht="15">
      <c r="A39" s="12"/>
      <c r="B39" s="12"/>
      <c r="C39" s="12"/>
      <c r="D39" s="12"/>
      <c r="E39" s="12"/>
      <c r="F39" s="12"/>
      <c r="G39" s="12"/>
      <c r="H39" s="54" t="s">
        <v>50</v>
      </c>
      <c r="I39" s="55"/>
      <c r="J39" s="28">
        <f>SUMPRODUCT(I29:I38,J29:J38)</f>
        <v>0</v>
      </c>
    </row>
    <row r="40" spans="1:10">
      <c r="A40" s="12"/>
      <c r="B40" s="12"/>
      <c r="C40" s="12"/>
      <c r="D40" s="12"/>
      <c r="E40" s="12"/>
      <c r="F40" s="12"/>
      <c r="G40" s="12"/>
      <c r="H40" s="12"/>
      <c r="I40" s="12"/>
      <c r="J40" s="12"/>
    </row>
    <row r="41" spans="1:10" ht="15">
      <c r="A41" s="53" t="s">
        <v>51</v>
      </c>
      <c r="B41" s="53"/>
      <c r="C41" s="53"/>
      <c r="D41" s="53"/>
      <c r="E41" s="12"/>
      <c r="F41" s="12"/>
      <c r="G41" s="12"/>
      <c r="H41" s="12"/>
      <c r="I41" s="12"/>
      <c r="J41" s="12"/>
    </row>
    <row r="42" spans="1:10" ht="30">
      <c r="A42" s="18" t="s">
        <v>52</v>
      </c>
      <c r="B42" s="19" t="s">
        <v>53</v>
      </c>
      <c r="C42" s="19" t="s">
        <v>54</v>
      </c>
      <c r="D42" s="20" t="s">
        <v>47</v>
      </c>
      <c r="E42" s="12"/>
      <c r="F42" s="53" t="s">
        <v>55</v>
      </c>
      <c r="G42" s="53"/>
      <c r="H42" s="53"/>
      <c r="I42" s="53"/>
      <c r="J42" s="53"/>
    </row>
    <row r="43" spans="1:10" ht="28.5">
      <c r="A43" s="29" t="s">
        <v>56</v>
      </c>
      <c r="B43" s="17"/>
      <c r="C43" s="12"/>
      <c r="D43" s="33"/>
      <c r="E43" s="12"/>
      <c r="F43" s="34" t="s">
        <v>57</v>
      </c>
      <c r="G43" s="35"/>
      <c r="H43" s="35"/>
      <c r="I43" s="36">
        <f>'Overhead Setup'!B24</f>
        <v>0</v>
      </c>
      <c r="J43" s="12"/>
    </row>
    <row r="44" spans="1:10">
      <c r="A44" s="29" t="s">
        <v>58</v>
      </c>
      <c r="B44" s="17"/>
      <c r="C44" s="12"/>
      <c r="D44" s="33"/>
      <c r="E44" s="12"/>
      <c r="F44" s="37" t="s">
        <v>59</v>
      </c>
      <c r="G44" s="38"/>
      <c r="H44" s="38"/>
      <c r="I44" s="39">
        <f>D37</f>
        <v>0</v>
      </c>
      <c r="J44" s="12"/>
    </row>
    <row r="45" spans="1:10" ht="28.5">
      <c r="A45" s="29" t="s">
        <v>60</v>
      </c>
      <c r="B45" s="12"/>
      <c r="C45" s="12"/>
      <c r="D45" s="39">
        <f>IFERROR(B43*2*B44,0)</f>
        <v>0</v>
      </c>
      <c r="E45" s="12"/>
      <c r="F45" s="37" t="s">
        <v>61</v>
      </c>
      <c r="G45" s="38"/>
      <c r="H45" s="38"/>
      <c r="I45" s="26">
        <f>I43*I44</f>
        <v>0</v>
      </c>
      <c r="J45" s="12"/>
    </row>
    <row r="46" spans="1:10" ht="28.5">
      <c r="A46" s="29" t="s">
        <v>62</v>
      </c>
      <c r="B46" s="12"/>
      <c r="C46" s="22"/>
      <c r="D46" s="33"/>
      <c r="E46" s="12"/>
      <c r="F46" s="37" t="s">
        <v>63</v>
      </c>
      <c r="G46" s="38"/>
      <c r="H46" s="38"/>
      <c r="I46" s="26">
        <f>'Overhead Setup'!B25</f>
        <v>0</v>
      </c>
      <c r="J46" s="12"/>
    </row>
    <row r="47" spans="1:10" ht="28.5">
      <c r="A47" s="29" t="s">
        <v>64</v>
      </c>
      <c r="B47" s="12"/>
      <c r="C47" s="40"/>
      <c r="D47" s="26">
        <f>D45*C46</f>
        <v>0</v>
      </c>
      <c r="E47" s="12"/>
      <c r="F47" s="37" t="s">
        <v>65</v>
      </c>
      <c r="G47" s="38"/>
      <c r="H47" s="38"/>
      <c r="I47" s="26">
        <f>MAX(I45,I46)</f>
        <v>0</v>
      </c>
      <c r="J47" s="12"/>
    </row>
    <row r="48" spans="1:10" ht="28.5">
      <c r="A48" s="29" t="s">
        <v>66</v>
      </c>
      <c r="B48" s="12"/>
      <c r="C48" s="22"/>
      <c r="D48" s="26">
        <f>IF(C48="",0,C48)</f>
        <v>0</v>
      </c>
      <c r="E48" s="12"/>
      <c r="F48" s="37" t="s">
        <v>67</v>
      </c>
      <c r="G48" s="38"/>
      <c r="H48" s="38"/>
      <c r="I48" s="41">
        <v>0</v>
      </c>
      <c r="J48" s="12"/>
    </row>
    <row r="49" spans="1:10" ht="15">
      <c r="A49" s="29" t="s">
        <v>68</v>
      </c>
      <c r="B49" s="12"/>
      <c r="C49" s="22"/>
      <c r="D49" s="26">
        <f>IF(C49="",0,C49)</f>
        <v>0</v>
      </c>
      <c r="E49" s="12"/>
      <c r="F49" s="42" t="s">
        <v>69</v>
      </c>
      <c r="G49" s="43"/>
      <c r="H49" s="43"/>
      <c r="I49" s="28">
        <f>I47+I48</f>
        <v>0</v>
      </c>
      <c r="J49" s="12"/>
    </row>
    <row r="50" spans="1:10">
      <c r="A50" s="29" t="s">
        <v>70</v>
      </c>
      <c r="B50" s="12"/>
      <c r="C50" s="22"/>
      <c r="D50" s="26">
        <f>IF(C50="",0,C50)</f>
        <v>0</v>
      </c>
      <c r="E50" s="12"/>
      <c r="F50" s="12"/>
      <c r="G50" s="12"/>
      <c r="H50" s="12"/>
      <c r="I50" s="12"/>
      <c r="J50" s="12"/>
    </row>
    <row r="51" spans="1:10">
      <c r="A51" s="29" t="s">
        <v>71</v>
      </c>
      <c r="B51" s="12"/>
      <c r="C51" s="22"/>
      <c r="D51" s="26">
        <f>IF(C51="",0,C51)</f>
        <v>0</v>
      </c>
      <c r="E51" s="12"/>
      <c r="F51" s="12"/>
      <c r="G51" s="12"/>
      <c r="H51" s="12"/>
      <c r="I51" s="12"/>
      <c r="J51" s="12"/>
    </row>
    <row r="52" spans="1:10" ht="15">
      <c r="A52" s="54" t="s">
        <v>72</v>
      </c>
      <c r="B52" s="55"/>
      <c r="C52" s="55"/>
      <c r="D52" s="28">
        <f>SUM(D47:D51)</f>
        <v>0</v>
      </c>
      <c r="E52" s="12"/>
      <c r="F52" s="53" t="s">
        <v>73</v>
      </c>
      <c r="G52" s="53"/>
      <c r="H52" s="53"/>
      <c r="I52" s="53"/>
      <c r="J52" s="53"/>
    </row>
    <row r="53" spans="1:10">
      <c r="A53" s="12"/>
      <c r="B53" s="12"/>
      <c r="C53" s="12"/>
      <c r="D53" s="12"/>
      <c r="E53" s="12"/>
      <c r="F53" s="34" t="s">
        <v>74</v>
      </c>
      <c r="G53" s="35"/>
      <c r="H53" s="35"/>
      <c r="I53" s="36">
        <f>H24</f>
        <v>0</v>
      </c>
      <c r="J53" s="12"/>
    </row>
    <row r="54" spans="1:10">
      <c r="A54" s="12"/>
      <c r="B54" s="12"/>
      <c r="C54" s="12"/>
      <c r="D54" s="12"/>
      <c r="E54" s="12"/>
      <c r="F54" s="37" t="s">
        <v>26</v>
      </c>
      <c r="G54" s="38"/>
      <c r="H54" s="38"/>
      <c r="I54" s="26">
        <f>F37</f>
        <v>0</v>
      </c>
      <c r="J54" s="12"/>
    </row>
    <row r="55" spans="1:10">
      <c r="A55" s="57" t="s">
        <v>75</v>
      </c>
      <c r="B55" s="57"/>
      <c r="C55" s="57"/>
      <c r="D55" s="57"/>
      <c r="E55" s="12"/>
      <c r="F55" s="37" t="s">
        <v>76</v>
      </c>
      <c r="G55" s="38"/>
      <c r="H55" s="38"/>
      <c r="I55" s="26">
        <f>D52</f>
        <v>0</v>
      </c>
      <c r="J55" s="12"/>
    </row>
    <row r="56" spans="1:10">
      <c r="A56" s="57"/>
      <c r="B56" s="57"/>
      <c r="C56" s="57"/>
      <c r="D56" s="57"/>
      <c r="E56" s="12"/>
      <c r="F56" s="37" t="s">
        <v>77</v>
      </c>
      <c r="G56" s="38"/>
      <c r="H56" s="38"/>
      <c r="I56" s="26">
        <f>J39</f>
        <v>0</v>
      </c>
      <c r="J56" s="12"/>
    </row>
    <row r="57" spans="1:10">
      <c r="A57" s="57"/>
      <c r="B57" s="57"/>
      <c r="C57" s="57"/>
      <c r="D57" s="57"/>
      <c r="E57" s="12"/>
      <c r="F57" s="37" t="s">
        <v>78</v>
      </c>
      <c r="G57" s="38"/>
      <c r="H57" s="38"/>
      <c r="I57" s="26">
        <f>I49</f>
        <v>0</v>
      </c>
      <c r="J57" s="12"/>
    </row>
    <row r="58" spans="1:10" ht="15">
      <c r="A58" s="57"/>
      <c r="B58" s="57"/>
      <c r="C58" s="57"/>
      <c r="D58" s="57"/>
      <c r="E58" s="12"/>
      <c r="F58" s="44" t="s">
        <v>79</v>
      </c>
      <c r="G58" s="45"/>
      <c r="H58" s="45"/>
      <c r="I58" s="46">
        <f>SUM(I53:I57)</f>
        <v>0</v>
      </c>
      <c r="J58" s="12"/>
    </row>
    <row r="59" spans="1:10">
      <c r="A59" s="57"/>
      <c r="B59" s="57"/>
      <c r="C59" s="57"/>
      <c r="D59" s="57"/>
      <c r="E59" s="12"/>
      <c r="F59" s="37" t="s">
        <v>80</v>
      </c>
      <c r="G59" s="38"/>
      <c r="H59" s="38"/>
      <c r="I59" s="47">
        <v>0</v>
      </c>
      <c r="J59" s="12"/>
    </row>
    <row r="60" spans="1:10">
      <c r="A60" s="57"/>
      <c r="B60" s="57"/>
      <c r="C60" s="57"/>
      <c r="D60" s="57"/>
      <c r="E60" s="12"/>
      <c r="F60" s="37" t="s">
        <v>81</v>
      </c>
      <c r="G60" s="38"/>
      <c r="H60" s="38"/>
      <c r="I60" s="26">
        <f>I58*I59</f>
        <v>0</v>
      </c>
      <c r="J60" s="12"/>
    </row>
    <row r="61" spans="1:10" ht="15">
      <c r="A61" s="57"/>
      <c r="B61" s="57"/>
      <c r="C61" s="57"/>
      <c r="D61" s="57"/>
      <c r="E61" s="12"/>
      <c r="F61" s="44" t="s">
        <v>82</v>
      </c>
      <c r="G61" s="45"/>
      <c r="H61" s="45"/>
      <c r="I61" s="46">
        <f>I58+I60</f>
        <v>0</v>
      </c>
      <c r="J61" s="12"/>
    </row>
    <row r="62" spans="1:10">
      <c r="A62" s="57"/>
      <c r="B62" s="57"/>
      <c r="C62" s="57"/>
      <c r="D62" s="57"/>
      <c r="E62" s="12"/>
      <c r="F62" s="37" t="s">
        <v>83</v>
      </c>
      <c r="G62" s="38"/>
      <c r="H62" s="38"/>
      <c r="I62" s="47">
        <v>0</v>
      </c>
      <c r="J62" s="12"/>
    </row>
    <row r="63" spans="1:10" ht="15">
      <c r="A63" s="57"/>
      <c r="B63" s="57"/>
      <c r="C63" s="57"/>
      <c r="D63" s="57"/>
      <c r="E63" s="12"/>
      <c r="F63" s="44" t="s">
        <v>84</v>
      </c>
      <c r="G63" s="45"/>
      <c r="H63" s="45"/>
      <c r="I63" s="48">
        <f>IF(I62&gt;=1,0,I61/(1-I62))</f>
        <v>0</v>
      </c>
      <c r="J63" s="12"/>
    </row>
    <row r="64" spans="1:10">
      <c r="A64" s="12"/>
      <c r="B64" s="12"/>
      <c r="C64" s="12"/>
      <c r="D64" s="12"/>
      <c r="E64" s="12"/>
      <c r="F64" s="37" t="s">
        <v>85</v>
      </c>
      <c r="G64" s="38"/>
      <c r="H64" s="38"/>
      <c r="I64" s="26">
        <f>I63-I61</f>
        <v>0</v>
      </c>
      <c r="J64" s="12"/>
    </row>
    <row r="65" spans="1:10">
      <c r="A65" s="12"/>
      <c r="B65" s="12"/>
      <c r="C65" s="12"/>
      <c r="D65" s="12"/>
      <c r="E65" s="12"/>
      <c r="F65" s="37" t="s">
        <v>86</v>
      </c>
      <c r="G65" s="38"/>
      <c r="H65" s="38"/>
      <c r="I65" s="26">
        <f>IF(G3&gt;0,I63/G3,0)</f>
        <v>0</v>
      </c>
      <c r="J65" s="12"/>
    </row>
    <row r="66" spans="1:10">
      <c r="A66" s="12"/>
      <c r="B66" s="12"/>
      <c r="C66" s="12"/>
      <c r="D66" s="12"/>
      <c r="E66" s="12"/>
      <c r="F66" s="37" t="s">
        <v>87</v>
      </c>
      <c r="G66" s="38"/>
      <c r="H66" s="38"/>
      <c r="I66" s="49">
        <f>IF(I63&gt;0,I53/I63,0)</f>
        <v>0</v>
      </c>
      <c r="J66" s="12"/>
    </row>
    <row r="67" spans="1:10">
      <c r="A67" s="12"/>
      <c r="B67" s="12"/>
      <c r="C67" s="12"/>
      <c r="D67" s="12"/>
      <c r="E67" s="12"/>
      <c r="F67" s="37" t="s">
        <v>88</v>
      </c>
      <c r="G67" s="38"/>
      <c r="H67" s="38"/>
      <c r="I67" s="49">
        <f>IF(I63&gt;0,I54/I63,0)</f>
        <v>0</v>
      </c>
      <c r="J67" s="12"/>
    </row>
    <row r="68" spans="1:10">
      <c r="A68" s="12"/>
      <c r="B68" s="12"/>
      <c r="C68" s="12"/>
      <c r="D68" s="12"/>
      <c r="E68" s="12"/>
      <c r="F68" s="42" t="s">
        <v>89</v>
      </c>
      <c r="G68" s="43"/>
      <c r="H68" s="43"/>
      <c r="I68" s="50">
        <f>IF(I63&gt;0,I57/I63,0)</f>
        <v>0</v>
      </c>
      <c r="J68" s="12"/>
    </row>
    <row r="69" spans="1:10">
      <c r="A69" s="12"/>
      <c r="B69" s="12"/>
      <c r="C69" s="12"/>
      <c r="D69" s="12"/>
      <c r="E69" s="12"/>
      <c r="F69" s="12"/>
      <c r="G69" s="12"/>
      <c r="H69" s="12"/>
      <c r="I69" s="12"/>
      <c r="J69" s="12"/>
    </row>
    <row r="70" spans="1:10">
      <c r="A70" s="12"/>
      <c r="B70" s="12"/>
      <c r="C70" s="12"/>
      <c r="D70" s="12"/>
      <c r="E70" s="12"/>
      <c r="F70" s="12"/>
      <c r="G70" s="12"/>
      <c r="H70" s="12"/>
      <c r="I70" s="12"/>
      <c r="J70" s="12"/>
    </row>
  </sheetData>
  <mergeCells count="16">
    <mergeCell ref="A55:D63"/>
    <mergeCell ref="H39:I39"/>
    <mergeCell ref="A41:D41"/>
    <mergeCell ref="A52:C52"/>
    <mergeCell ref="F42:J42"/>
    <mergeCell ref="F52:J52"/>
    <mergeCell ref="A7:H7"/>
    <mergeCell ref="A24:G24"/>
    <mergeCell ref="A27:F27"/>
    <mergeCell ref="A37:C37"/>
    <mergeCell ref="H27:J27"/>
    <mergeCell ref="A1:J1"/>
    <mergeCell ref="B3:C3"/>
    <mergeCell ref="B4:C4"/>
    <mergeCell ref="I3:J3"/>
    <mergeCell ref="I4:J4"/>
  </mergeCells>
  <dataValidations count="1">
    <dataValidation type="list" sqref="E4" xr:uid="{00000000-0002-0000-0000-000000000000}">
      <formula1>"Drop-Off,Buffet,Plated,Family Style,Pickup,Private Chef,Other"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workbookViewId="0">
      <selection sqref="A1:D1"/>
    </sheetView>
  </sheetViews>
  <sheetFormatPr defaultRowHeight="14.25"/>
  <cols>
    <col min="1" max="1" width="42" customWidth="1"/>
    <col min="2" max="2" width="18" customWidth="1"/>
    <col min="3" max="4" width="12" customWidth="1"/>
  </cols>
  <sheetData>
    <row r="1" spans="1:4" ht="27.95" customHeight="1">
      <c r="A1" s="58" t="s">
        <v>90</v>
      </c>
      <c r="B1" s="58"/>
      <c r="C1" s="58"/>
      <c r="D1" s="58"/>
    </row>
    <row r="3" spans="1:4" ht="33.950000000000003" customHeight="1">
      <c r="A3" s="59" t="s">
        <v>91</v>
      </c>
      <c r="B3" s="59"/>
      <c r="C3" s="59"/>
      <c r="D3" s="59"/>
    </row>
    <row r="5" spans="1:4" ht="15">
      <c r="A5" s="1" t="s">
        <v>92</v>
      </c>
      <c r="B5" s="2" t="s">
        <v>93</v>
      </c>
    </row>
    <row r="6" spans="1:4">
      <c r="A6" s="3" t="s">
        <v>94</v>
      </c>
      <c r="B6" s="4"/>
    </row>
    <row r="7" spans="1:4">
      <c r="A7" s="3" t="s">
        <v>95</v>
      </c>
      <c r="B7" s="4"/>
    </row>
    <row r="8" spans="1:4">
      <c r="A8" s="3" t="s">
        <v>96</v>
      </c>
      <c r="B8" s="4"/>
    </row>
    <row r="9" spans="1:4">
      <c r="A9" s="3" t="s">
        <v>97</v>
      </c>
      <c r="B9" s="4"/>
    </row>
    <row r="10" spans="1:4">
      <c r="A10" s="3" t="s">
        <v>98</v>
      </c>
      <c r="B10" s="4"/>
    </row>
    <row r="11" spans="1:4">
      <c r="A11" s="3" t="s">
        <v>99</v>
      </c>
      <c r="B11" s="4"/>
    </row>
    <row r="12" spans="1:4">
      <c r="A12" s="3" t="s">
        <v>100</v>
      </c>
      <c r="B12" s="4"/>
    </row>
    <row r="13" spans="1:4">
      <c r="A13" s="3" t="s">
        <v>101</v>
      </c>
      <c r="B13" s="4"/>
    </row>
    <row r="14" spans="1:4">
      <c r="A14" s="3" t="s">
        <v>102</v>
      </c>
      <c r="B14" s="4"/>
    </row>
    <row r="15" spans="1:4">
      <c r="A15" s="3" t="s">
        <v>48</v>
      </c>
      <c r="B15" s="4"/>
    </row>
    <row r="16" spans="1:4">
      <c r="A16" s="3" t="s">
        <v>103</v>
      </c>
      <c r="B16" s="4"/>
    </row>
    <row r="17" spans="1:4">
      <c r="A17" s="3" t="s">
        <v>104</v>
      </c>
      <c r="B17" s="4"/>
    </row>
    <row r="18" spans="1:4">
      <c r="A18" s="3" t="s">
        <v>105</v>
      </c>
      <c r="B18" s="4"/>
    </row>
    <row r="19" spans="1:4" ht="15">
      <c r="A19" s="5" t="s">
        <v>106</v>
      </c>
      <c r="B19" s="6">
        <f>SUM(B6:B18)</f>
        <v>0</v>
      </c>
    </row>
    <row r="22" spans="1:4" ht="15">
      <c r="A22" s="1" t="s">
        <v>107</v>
      </c>
      <c r="B22" s="2" t="s">
        <v>108</v>
      </c>
    </row>
    <row r="23" spans="1:4">
      <c r="A23" s="3" t="s">
        <v>109</v>
      </c>
      <c r="B23" s="7">
        <v>160</v>
      </c>
    </row>
    <row r="24" spans="1:4" ht="15">
      <c r="A24" s="8" t="s">
        <v>110</v>
      </c>
      <c r="B24" s="9">
        <f>IFERROR(B19/B23,0)</f>
        <v>0</v>
      </c>
    </row>
    <row r="25" spans="1:4">
      <c r="A25" s="10" t="s">
        <v>111</v>
      </c>
      <c r="B25" s="11">
        <v>0</v>
      </c>
    </row>
    <row r="28" spans="1:4">
      <c r="A28" s="57" t="s">
        <v>112</v>
      </c>
      <c r="B28" s="57"/>
      <c r="C28" s="57"/>
      <c r="D28" s="57"/>
    </row>
    <row r="29" spans="1:4">
      <c r="A29" s="57"/>
      <c r="B29" s="57"/>
      <c r="C29" s="57"/>
      <c r="D29" s="57"/>
    </row>
    <row r="30" spans="1:4">
      <c r="A30" s="57"/>
      <c r="B30" s="57"/>
      <c r="C30" s="57"/>
      <c r="D30" s="57"/>
    </row>
    <row r="31" spans="1:4">
      <c r="A31" s="57"/>
      <c r="B31" s="57"/>
      <c r="C31" s="57"/>
      <c r="D31" s="57"/>
    </row>
    <row r="32" spans="1:4">
      <c r="A32" s="57"/>
      <c r="B32" s="57"/>
      <c r="C32" s="57"/>
      <c r="D32" s="57"/>
    </row>
  </sheetData>
  <mergeCells count="3">
    <mergeCell ref="A1:D1"/>
    <mergeCell ref="A3:D3"/>
    <mergeCell ref="A28:D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Catering Costing</vt:lpstr>
      <vt:lpstr>Overhead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Darrell Pender</cp:lastModifiedBy>
  <dcterms:modified xsi:type="dcterms:W3CDTF">2026-09-05T01:58:26Z</dcterms:modified>
</cp:coreProperties>
</file>