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react-projects\ecosphere\mentorship-tracking\backend\public\mentee\Lisa Wright\docs\"/>
    </mc:Choice>
  </mc:AlternateContent>
  <xr:revisionPtr revIDLastSave="0" documentId="13_ncr:1_{23C46817-F87D-4ED0-ACC7-9A60EF5C321C}" xr6:coauthVersionLast="47" xr6:coauthVersionMax="47" xr10:uidLastSave="{00000000-0000-0000-0000-000000000000}"/>
  <bookViews>
    <workbookView xWindow="29190" yWindow="0" windowWidth="28335" windowHeight="16200" activeTab="1" xr2:uid="{A79FA3A1-8FCB-4582-AC2D-201920233CE6}"/>
  </bookViews>
  <sheets>
    <sheet name="Index" sheetId="3" r:id="rId1"/>
    <sheet name="Costing Template" sheetId="2" r:id="rId2"/>
    <sheet name="Images" sheetId="5" r:id="rId3"/>
    <sheet name="Kitchen Conversions" sheetId="6" r:id="rId4"/>
    <sheet name="Scoop Size" sheetId="7" r:id="rId5"/>
    <sheet name="Minimum Internal Temperatures" sheetId="8" r:id="rId6"/>
    <sheet name="Food Storage Temperatures" sheetId="9" r:id="rId7"/>
    <sheet name="Options" sheetId="10" state="veryHidden" r:id="rId8"/>
    <sheet name="Ingredient Conversions" sheetId="21" state="veryHidden" r:id="rId9"/>
    <sheet name="RecipeDataPull" sheetId="36" state="veryHidden" r:id="rId10"/>
  </sheets>
  <functionGroups builtInGroupCount="19"/>
  <definedNames>
    <definedName name="_xlpm.sizeNum" hidden="1" xlm="1">#NAME?</definedName>
    <definedName name="_xlpm.sizeOz" hidden="1" xlm="1">#NAME?</definedName>
    <definedName name="_xlpm.sizeUnit" hidden="1" xlm="1">#NAME?</definedName>
    <definedName name="_xlpm.validSize" hidden="1" xlm="1">#NAME?</definedName>
    <definedName name="_xlpm.validVol" hidden="1" xlm="1">#NAME?</definedName>
    <definedName name="_xlpm.volNum" hidden="1" xlm="1">#NAME?</definedName>
    <definedName name="_xlpm.volOz" hidden="1" xlm="1">#NAME?</definedName>
    <definedName name="_xlpm.volUnit" hidden="1" xlm="1">#NAME?</definedName>
    <definedName name="Category">#REF!</definedName>
    <definedName name="Clientele">Options!$C$2:$C$9</definedName>
    <definedName name="crp">IF(AND(#REF!="© 2011 Spreadsheet123 Ltd. All rights reserved",#REF!="Small Business Templates by Spreadsheet123.com"),1,0)</definedName>
    <definedName name="days">#REF!</definedName>
    <definedName name="Degree">Options!$G$2:$G$5</definedName>
    <definedName name="FoodCostTable">OFFSET('Costing Template'!$Y$19,0,0,COUNTA('Costing Template'!$Y$19:$Y$115),3)</definedName>
    <definedName name="FoodType">#REF!</definedName>
    <definedName name="HourRates">OFFSET('Costing Template'!$AD$3,1,0,COUNTA('Costing Template'!$AD$4:$AD$115),1)</definedName>
    <definedName name="Meal">Options!$D$2:$D$6</definedName>
    <definedName name="Measurement">Options!$E$2:$E$6</definedName>
    <definedName name="preparedby">#REF!</definedName>
    <definedName name="_xlnm.Print_Area" localSheetId="1">'Costing Template'!$A$1:$J$34</definedName>
    <definedName name="_xlnm.Print_Area" localSheetId="6">'Food Storage Temperatures'!$A$1:$G$9</definedName>
    <definedName name="_xlnm.Print_Area" localSheetId="5">'Minimum Internal Temperatures'!$A$1:$G$24</definedName>
    <definedName name="RecipeUnits">Options!$P$2:$P$10</definedName>
    <definedName name="Restaurants">#REF!</definedName>
    <definedName name="Signature">OFFSET('Costing Template'!$AG$4, 0, 0, COUNTA('Costing Template'!$AG$4:$AG$1015))</definedName>
    <definedName name="Temperature" localSheetId="1">#REF!</definedName>
    <definedName name="Temperature">#REF!</definedName>
    <definedName name="Tempsymbol" comment="Temperature symbols">'Kitchen Conversions'!$D$3:$D$5</definedName>
    <definedName name="type">#REF!</definedName>
    <definedName name="units" localSheetId="1">#REF!</definedName>
    <definedName name="units">INDIRECT("Conversions!$A$3:$A$20")</definedName>
    <definedName name="UnitW" localSheetId="1">#REF!</definedName>
    <definedName name="UnitW">INDIRECT("Conversions!$B$3:$B$16")</definedName>
    <definedName name="vendors">#REF!</definedName>
    <definedName name="Weight">Options!$B$2:$B$5</definedName>
    <definedName name="ys">#REF!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3" i="2" l="1"/>
  <c r="I43" i="2"/>
  <c r="K43" i="2"/>
  <c r="G43" i="2" s="1"/>
  <c r="A44" i="2"/>
  <c r="I44" i="2"/>
  <c r="K44" i="2"/>
  <c r="G44" i="2" s="1"/>
  <c r="A45" i="2"/>
  <c r="I45" i="2"/>
  <c r="K45" i="2"/>
  <c r="G45" i="2" s="1"/>
  <c r="A46" i="2"/>
  <c r="I46" i="2"/>
  <c r="K46" i="2"/>
  <c r="G46" i="2" s="1"/>
  <c r="A47" i="2"/>
  <c r="I47" i="2"/>
  <c r="K47" i="2"/>
  <c r="G47" i="2" s="1"/>
  <c r="A48" i="2"/>
  <c r="I48" i="2"/>
  <c r="K48" i="2"/>
  <c r="G48" i="2" s="1"/>
  <c r="A49" i="2"/>
  <c r="I49" i="2"/>
  <c r="K49" i="2"/>
  <c r="G49" i="2" s="1"/>
  <c r="A50" i="2"/>
  <c r="I50" i="2"/>
  <c r="K50" i="2"/>
  <c r="G50" i="2" s="1"/>
  <c r="A51" i="2"/>
  <c r="I51" i="2"/>
  <c r="K51" i="2"/>
  <c r="G51" i="2" s="1"/>
  <c r="A52" i="2"/>
  <c r="I52" i="2"/>
  <c r="K52" i="2"/>
  <c r="G52" i="2" s="1"/>
  <c r="A53" i="2"/>
  <c r="I53" i="2"/>
  <c r="K53" i="2"/>
  <c r="G53" i="2" s="1"/>
  <c r="A54" i="2"/>
  <c r="I54" i="2"/>
  <c r="K54" i="2"/>
  <c r="G54" i="2" s="1"/>
  <c r="F45" i="2"/>
  <c r="F46" i="2"/>
  <c r="F53" i="2"/>
  <c r="F44" i="2"/>
  <c r="F51" i="2"/>
  <c r="F49" i="2"/>
  <c r="F52" i="2"/>
  <c r="F43" i="2"/>
  <c r="F47" i="2"/>
  <c r="F54" i="2"/>
  <c r="F50" i="2"/>
  <c r="F48" i="2"/>
  <c r="H47" i="2" l="1"/>
  <c r="J47" i="2" s="1"/>
  <c r="H44" i="2"/>
  <c r="J44" i="2" s="1"/>
  <c r="H49" i="2"/>
  <c r="J49" i="2" s="1"/>
  <c r="H53" i="2"/>
  <c r="J53" i="2" s="1"/>
  <c r="H46" i="2"/>
  <c r="J46" i="2" s="1"/>
  <c r="H51" i="2"/>
  <c r="J51" i="2" s="1"/>
  <c r="H45" i="2"/>
  <c r="J45" i="2" s="1"/>
  <c r="H48" i="2"/>
  <c r="J48" i="2" s="1"/>
  <c r="H54" i="2"/>
  <c r="J54" i="2" s="1"/>
  <c r="H50" i="2"/>
  <c r="J50" i="2" s="1"/>
  <c r="H43" i="2"/>
  <c r="J43" i="2" s="1"/>
  <c r="H52" i="2"/>
  <c r="J52" i="2" s="1"/>
  <c r="I31" i="2"/>
  <c r="J31" i="2" s="1"/>
  <c r="I30" i="2"/>
  <c r="J30" i="2" s="1"/>
  <c r="A1" i="10"/>
  <c r="A1" i="9"/>
  <c r="A1" i="8"/>
  <c r="A1" i="7"/>
  <c r="T32" i="6"/>
  <c r="R32" i="6"/>
  <c r="F32" i="6"/>
  <c r="T31" i="6"/>
  <c r="R31" i="6"/>
  <c r="F31" i="6"/>
  <c r="T30" i="6"/>
  <c r="R30" i="6"/>
  <c r="F30" i="6"/>
  <c r="T29" i="6"/>
  <c r="R29" i="6"/>
  <c r="F29" i="6"/>
  <c r="T28" i="6"/>
  <c r="R28" i="6"/>
  <c r="F28" i="6"/>
  <c r="T27" i="6"/>
  <c r="R27" i="6"/>
  <c r="F27" i="6"/>
  <c r="T26" i="6"/>
  <c r="R26" i="6"/>
  <c r="F26" i="6"/>
  <c r="T25" i="6"/>
  <c r="R25" i="6"/>
  <c r="T24" i="6"/>
  <c r="R24" i="6"/>
  <c r="T23" i="6"/>
  <c r="R23" i="6"/>
  <c r="T22" i="6"/>
  <c r="R22" i="6"/>
  <c r="T21" i="6"/>
  <c r="R21" i="6"/>
  <c r="T20" i="6"/>
  <c r="R20" i="6"/>
  <c r="G20" i="6"/>
  <c r="G21" i="6" s="1"/>
  <c r="G22" i="6" s="1"/>
  <c r="T19" i="6"/>
  <c r="R19" i="6"/>
  <c r="AC18" i="6"/>
  <c r="AA18" i="6"/>
  <c r="T18" i="6"/>
  <c r="R18" i="6"/>
  <c r="AC17" i="6"/>
  <c r="AA17" i="6"/>
  <c r="T17" i="6"/>
  <c r="R17" i="6"/>
  <c r="AC16" i="6"/>
  <c r="AA16" i="6"/>
  <c r="T16" i="6"/>
  <c r="R16" i="6"/>
  <c r="G16" i="6"/>
  <c r="G17" i="6" s="1"/>
  <c r="AC15" i="6"/>
  <c r="AA15" i="6"/>
  <c r="T15" i="6"/>
  <c r="R15" i="6"/>
  <c r="AC14" i="6"/>
  <c r="AA14" i="6"/>
  <c r="T14" i="6"/>
  <c r="R14" i="6"/>
  <c r="AC13" i="6"/>
  <c r="AA13" i="6"/>
  <c r="T13" i="6"/>
  <c r="R13" i="6"/>
  <c r="AC12" i="6"/>
  <c r="AA12" i="6"/>
  <c r="T12" i="6"/>
  <c r="R12" i="6"/>
  <c r="AC11" i="6"/>
  <c r="AA11" i="6"/>
  <c r="T11" i="6"/>
  <c r="R11" i="6"/>
  <c r="K11" i="6"/>
  <c r="K12" i="6" s="1"/>
  <c r="K13" i="6" s="1"/>
  <c r="G11" i="6"/>
  <c r="G12" i="6" s="1"/>
  <c r="G13" i="6" s="1"/>
  <c r="AC10" i="6"/>
  <c r="AA10" i="6"/>
  <c r="T10" i="6"/>
  <c r="R10" i="6"/>
  <c r="AC9" i="6"/>
  <c r="AA9" i="6"/>
  <c r="T9" i="6"/>
  <c r="R9" i="6"/>
  <c r="AC8" i="6"/>
  <c r="AA8" i="6"/>
  <c r="T8" i="6"/>
  <c r="R8" i="6"/>
  <c r="AC7" i="6"/>
  <c r="AA7" i="6"/>
  <c r="T7" i="6"/>
  <c r="R7" i="6"/>
  <c r="AE6" i="6"/>
  <c r="AC6" i="6"/>
  <c r="AA6" i="6"/>
  <c r="T6" i="6"/>
  <c r="R6" i="6"/>
  <c r="AC5" i="6"/>
  <c r="AA5" i="6"/>
  <c r="T5" i="6"/>
  <c r="R5" i="6"/>
  <c r="K5" i="6"/>
  <c r="K6" i="6" s="1"/>
  <c r="K7" i="6" s="1"/>
  <c r="G5" i="6"/>
  <c r="G6" i="6" s="1"/>
  <c r="G7" i="6" s="1"/>
  <c r="G8" i="6" s="1"/>
  <c r="AC4" i="6"/>
  <c r="AA4" i="6"/>
  <c r="T4" i="6"/>
  <c r="R4" i="6"/>
  <c r="AC3" i="6"/>
  <c r="AA3" i="6"/>
  <c r="V3" i="6"/>
  <c r="T3" i="6"/>
  <c r="R3" i="6"/>
  <c r="G1" i="6"/>
  <c r="K42" i="2"/>
  <c r="G42" i="2" s="1"/>
  <c r="I42" i="2"/>
  <c r="A42" i="2"/>
  <c r="A41" i="2"/>
  <c r="F38" i="2"/>
  <c r="E40" i="2" s="1"/>
  <c r="H40" i="2" s="1"/>
  <c r="F7" i="2" s="1"/>
  <c r="I32" i="2" s="1"/>
  <c r="J32" i="2" s="1"/>
  <c r="AI18" i="2" a="1"/>
  <c r="AI18" i="2" s="1"/>
  <c r="AH18" i="2" a="1"/>
  <c r="AH18" i="2" s="1"/>
  <c r="N6" i="2"/>
  <c r="F4" i="2"/>
  <c r="C1" i="2"/>
  <c r="F42" i="2"/>
  <c r="I29" i="2" l="1"/>
  <c r="J29" i="2" s="1"/>
  <c r="H42" i="2"/>
  <c r="AJ18" i="2" a="1"/>
  <c r="AJ18" i="2" s="1"/>
  <c r="I26" i="2" l="1"/>
  <c r="J26" i="2" s="1"/>
  <c r="I20" i="2"/>
  <c r="J20" i="2" s="1"/>
  <c r="I14" i="2"/>
  <c r="J14" i="2" s="1"/>
  <c r="I28" i="2"/>
  <c r="J28" i="2" s="1"/>
  <c r="I16" i="2"/>
  <c r="J16" i="2" s="1"/>
  <c r="I19" i="2"/>
  <c r="J19" i="2" s="1"/>
  <c r="I18" i="2"/>
  <c r="J18" i="2" s="1"/>
  <c r="I15" i="2"/>
  <c r="J15" i="2" s="1"/>
  <c r="I24" i="2"/>
  <c r="J24" i="2" s="1"/>
  <c r="I25" i="2"/>
  <c r="J25" i="2" s="1"/>
  <c r="I17" i="2"/>
  <c r="J17" i="2" s="1"/>
  <c r="I23" i="2"/>
  <c r="J23" i="2" s="1"/>
  <c r="I22" i="2"/>
  <c r="J22" i="2" s="1"/>
  <c r="I21" i="2"/>
  <c r="J21" i="2" s="1"/>
  <c r="I27" i="2"/>
  <c r="J27" i="2" s="1"/>
  <c r="I13" i="2"/>
  <c r="J13" i="2" s="1"/>
  <c r="J42" i="2"/>
  <c r="J33" i="2" l="1"/>
  <c r="I3" i="2" l="1"/>
  <c r="I4" i="2" s="1"/>
  <c r="I5" i="2" s="1"/>
  <c r="C3" i="2"/>
  <c r="F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<sst xmlns="http://schemas.openxmlformats.org/spreadsheetml/2006/main" count="983" uniqueCount="529">
  <si>
    <t>Recipe Name:</t>
  </si>
  <si>
    <t>Total Recipe Cost:</t>
  </si>
  <si>
    <t>/</t>
  </si>
  <si>
    <t>Servings:</t>
  </si>
  <si>
    <t>=</t>
  </si>
  <si>
    <t>Cost/portion:</t>
  </si>
  <si>
    <t>RCF</t>
  </si>
  <si>
    <t>Servings</t>
  </si>
  <si>
    <t>Total Yield</t>
  </si>
  <si>
    <t>Serving Size</t>
  </si>
  <si>
    <t>20 minutes / 60 ​= 0.33 hours</t>
  </si>
  <si>
    <t>Hourly Rates</t>
  </si>
  <si>
    <t>Signature</t>
  </si>
  <si>
    <t>Yield:</t>
  </si>
  <si>
    <t>Food Cost %:</t>
  </si>
  <si>
    <t xml:space="preserve"> Min Menu Price:</t>
  </si>
  <si>
    <t>New:</t>
  </si>
  <si>
    <t>Cost per ounce</t>
  </si>
  <si>
    <t>Cost per package</t>
  </si>
  <si>
    <t xml:space="preserve">/ </t>
  </si>
  <si>
    <t>Ounces per package</t>
  </si>
  <si>
    <t>Time</t>
  </si>
  <si>
    <t>Bottle Size:</t>
  </si>
  <si>
    <t>Serving Size:</t>
  </si>
  <si>
    <t>Selling Price:</t>
  </si>
  <si>
    <t>Old:</t>
  </si>
  <si>
    <t>Total Cost</t>
  </si>
  <si>
    <t xml:space="preserve">Number of Package </t>
  </si>
  <si>
    <t>X</t>
  </si>
  <si>
    <t>15 minutes = 0.25 hours</t>
  </si>
  <si>
    <t>Contribution Margin:</t>
  </si>
  <si>
    <t>Mark Up:</t>
  </si>
  <si>
    <t>RCF:</t>
  </si>
  <si>
    <t>Number of packages</t>
  </si>
  <si>
    <t>Total Qty Needed</t>
  </si>
  <si>
    <t>Package Size</t>
  </si>
  <si>
    <t>20 minutes = 0.33 hours</t>
  </si>
  <si>
    <t>Labor:</t>
  </si>
  <si>
    <t>Number of Pounds in a Case</t>
  </si>
  <si>
    <t xml:space="preserve"> =</t>
  </si>
  <si>
    <t xml:space="preserve"> Price per case </t>
  </si>
  <si>
    <t>Price per pound</t>
  </si>
  <si>
    <t>Operation Type:</t>
  </si>
  <si>
    <t>Catering / Banquets</t>
  </si>
  <si>
    <t>Recipe Conversion Factor</t>
  </si>
  <si>
    <t>New</t>
  </si>
  <si>
    <t>Old</t>
  </si>
  <si>
    <t>30 minutes = 0.5 hours</t>
  </si>
  <si>
    <t>Costed by:</t>
  </si>
  <si>
    <t>Darrell Pender</t>
  </si>
  <si>
    <t>Labor Cost</t>
  </si>
  <si>
    <t>Time in hours</t>
  </si>
  <si>
    <t>Hourly wage</t>
  </si>
  <si>
    <t>1 hour = 1.00 hour</t>
  </si>
  <si>
    <r>
      <t>Jars per batch</t>
    </r>
    <r>
      <rPr>
        <sz val="11"/>
        <color theme="1"/>
        <rFont val="Aptos Narrow"/>
        <family val="2"/>
        <scheme val="minor"/>
      </rPr>
      <t xml:space="preserve"> </t>
    </r>
  </si>
  <si>
    <t>Jar Size</t>
  </si>
  <si>
    <t xml:space="preserve">QUANTITY </t>
  </si>
  <si>
    <t>COST</t>
  </si>
  <si>
    <t>TOTAL</t>
  </si>
  <si>
    <t>Cost per jar</t>
  </si>
  <si>
    <t>Jars per batch</t>
  </si>
  <si>
    <t>INGREDIENTS</t>
  </si>
  <si>
    <t>Weight</t>
  </si>
  <si>
    <t>Volume</t>
  </si>
  <si>
    <t>Count</t>
  </si>
  <si>
    <t>Unit</t>
  </si>
  <si>
    <t>AP$</t>
  </si>
  <si>
    <t>Retail price (30% food cost)</t>
  </si>
  <si>
    <t>Cost per portion</t>
  </si>
  <si>
    <t>Food Cost Percent</t>
  </si>
  <si>
    <t>lb.</t>
  </si>
  <si>
    <t>Wholesale Price</t>
  </si>
  <si>
    <t xml:space="preserve">Cost per jar </t>
  </si>
  <si>
    <t>Food Cost %</t>
  </si>
  <si>
    <r>
      <t xml:space="preserve">For wholesale, the industry standard </t>
    </r>
    <r>
      <rPr>
        <b/>
        <sz val="11"/>
        <color theme="1"/>
        <rFont val="Aptos Narrow"/>
        <family val="2"/>
        <scheme val="minor"/>
      </rPr>
      <t>food cost % is 40%</t>
    </r>
  </si>
  <si>
    <t>tbsp.</t>
  </si>
  <si>
    <t>Look up Operation</t>
  </si>
  <si>
    <t>Check min%</t>
  </si>
  <si>
    <t>Gen List</t>
  </si>
  <si>
    <t>fl oz.</t>
  </si>
  <si>
    <t>🎯 General Guidance</t>
  </si>
  <si>
    <t>Operation Type</t>
  </si>
  <si>
    <t>Min %</t>
  </si>
  <si>
    <t>Max %</t>
  </si>
  <si>
    <t>Notes</t>
  </si>
  <si>
    <r>
      <t>Target range for most operations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28–34%</t>
    </r>
  </si>
  <si>
    <t>Quick Service / Fast Food</t>
  </si>
  <si>
    <t>Fast, inexpensive meals with high volume and low margin per item.</t>
  </si>
  <si>
    <r>
      <t>High-volume/low-cost</t>
    </r>
    <r>
      <rPr>
        <sz val="11"/>
        <color theme="1"/>
        <rFont val="Aptos Narrow"/>
        <family val="2"/>
        <scheme val="minor"/>
      </rPr>
      <t xml:space="preserve"> models (fast food, bakeries): closer to </t>
    </r>
    <r>
      <rPr>
        <b/>
        <sz val="11"/>
        <color theme="1"/>
        <rFont val="Aptos Narrow"/>
        <family val="2"/>
        <scheme val="minor"/>
      </rPr>
      <t>20–30%</t>
    </r>
  </si>
  <si>
    <t>Fast Casual</t>
  </si>
  <si>
    <t>Higher quality than fast food, limited service, often customized orders.</t>
  </si>
  <si>
    <r>
      <t>Low-volume/high-prep</t>
    </r>
    <r>
      <rPr>
        <sz val="11"/>
        <color theme="1"/>
        <rFont val="Aptos Narrow"/>
        <family val="2"/>
        <scheme val="minor"/>
      </rPr>
      <t xml:space="preserve"> concepts (fine dining, small batch, scratch): </t>
    </r>
    <r>
      <rPr>
        <b/>
        <sz val="11"/>
        <color theme="1"/>
        <rFont val="Aptos Narrow"/>
        <family val="2"/>
        <scheme val="minor"/>
      </rPr>
      <t>30–40%</t>
    </r>
  </si>
  <si>
    <t>Casual Dining</t>
  </si>
  <si>
    <t>Full-service restaurants with moderate pricing and varied menus.</t>
  </si>
  <si>
    <t>Upscale / Fine Dining</t>
  </si>
  <si>
    <t>High-end service, quality, and presentation with premium pricing.</t>
  </si>
  <si>
    <t>Pre-ordered meals for events, volume-based, often low waste.</t>
  </si>
  <si>
    <t>Food Trucks</t>
  </si>
  <si>
    <t>Mobile service, limited menu, higher waste risk but lower overhead.</t>
  </si>
  <si>
    <t>Bakery / Cafe</t>
  </si>
  <si>
    <t>Small-scale baked goods, breakfast or coffee items with moderate prep.</t>
  </si>
  <si>
    <t>Grocerant (Grocery + Food)</t>
  </si>
  <si>
    <t>Grocery with prepared meal sections, low labor but high volume.</t>
  </si>
  <si>
    <t>Prepared Meal Delivery</t>
  </si>
  <si>
    <t>Subscription or on-demand meals, high packaging and delivery costs.</t>
  </si>
  <si>
    <t>Cottage Food Business</t>
  </si>
  <si>
    <t>Home-prepared items, limited menu and volume, regulated by local laws.</t>
  </si>
  <si>
    <t>Labor</t>
  </si>
  <si>
    <t>Ghost Kitchen</t>
  </si>
  <si>
    <t>Delivery-only kitchens, no dine-in, low FOH cost, streamlined operations.</t>
  </si>
  <si>
    <t>TOTAL RECIPE COST</t>
  </si>
  <si>
    <t>Meal Prep Services</t>
  </si>
  <si>
    <t>Similar to prepared meal delivery but often subscription-based or customizable</t>
  </si>
  <si>
    <t>Pop-Up Restaurant</t>
  </si>
  <si>
    <t>Temporary or event-based; similar to food trucks but with limited overhead</t>
  </si>
  <si>
    <t>Commissary Kitchen Rental</t>
  </si>
  <si>
    <t>Used by multiple vendors, often lowers fixed costs</t>
  </si>
  <si>
    <t>Subscription Snack Boxes</t>
  </si>
  <si>
    <t>Shelf-stable or minimal-prep items shipped in boxes</t>
  </si>
  <si>
    <t>Juice/Smoothie Bars</t>
  </si>
  <si>
    <t>Perishable inventory, moderate labor, often premium priced</t>
  </si>
  <si>
    <t>Hours:</t>
  </si>
  <si>
    <t>Minutes</t>
  </si>
  <si>
    <t>Total Minutes</t>
  </si>
  <si>
    <t>Specialty Dessert Shop</t>
  </si>
  <si>
    <t>High ingredient cost, variable portion control, often seasonal volume</t>
  </si>
  <si>
    <t>Wholesale Bakery or Producer</t>
  </si>
  <si>
    <t>Low margin, volume-based pricing; aligns with high-volume food manufacturing</t>
  </si>
  <si>
    <t>Rate:</t>
  </si>
  <si>
    <t>Hr.</t>
  </si>
  <si>
    <t>Prep Time:</t>
  </si>
  <si>
    <t>Labor Cost:</t>
  </si>
  <si>
    <t>Corporate Catering</t>
  </si>
  <si>
    <t>Often volume discounts, but lower labor due to buffet or boxed setups</t>
  </si>
  <si>
    <t>Cost</t>
  </si>
  <si>
    <t>Unit Amt for</t>
  </si>
  <si>
    <t>Conversion</t>
  </si>
  <si>
    <t>Cost per Unit</t>
  </si>
  <si>
    <t>Need</t>
  </si>
  <si>
    <t>AP Cost</t>
  </si>
  <si>
    <t>Farmer's Market Vendor</t>
  </si>
  <si>
    <t>Seasonal, usually scratch-made with local goods; mix of cottage and retail</t>
  </si>
  <si>
    <t>oz.</t>
  </si>
  <si>
    <t>Food Storage Temperatures</t>
  </si>
  <si>
    <t>Minimum Internal Temperatures</t>
  </si>
  <si>
    <t>Scoop Size</t>
  </si>
  <si>
    <t>Kitchen Conversions</t>
  </si>
  <si>
    <t>Images</t>
  </si>
  <si>
    <t>Costing Template</t>
  </si>
  <si>
    <t>Average Prep Time (minutes)</t>
  </si>
  <si>
    <t>Total Labor Cost</t>
  </si>
  <si>
    <t>Average Contribution Margin</t>
  </si>
  <si>
    <t>Lowest Cost per Portion</t>
  </si>
  <si>
    <t>Highest Cost per Portion</t>
  </si>
  <si>
    <t>Average Food Cost %</t>
  </si>
  <si>
    <t>Total Number of Recipes</t>
  </si>
  <si>
    <t>Personal Recipe Costing Dashboard</t>
  </si>
  <si>
    <t>Sheet Index</t>
  </si>
  <si>
    <t>ID</t>
  </si>
  <si>
    <t>Recipe Name</t>
  </si>
  <si>
    <t>Image Name</t>
  </si>
  <si>
    <t>Path</t>
  </si>
  <si>
    <t>UNITS</t>
  </si>
  <si>
    <t>TEMPERATURE UNIT</t>
  </si>
  <si>
    <t>TEMPERATURES</t>
  </si>
  <si>
    <t>Fahrenheit °F</t>
  </si>
  <si>
    <t>Celsius °C</t>
  </si>
  <si>
    <t>(32°F − 32) × 5/9 = 0°C</t>
  </si>
  <si>
    <t>Pound</t>
  </si>
  <si>
    <t>°F</t>
  </si>
  <si>
    <t>Fahrenheit</t>
  </si>
  <si>
    <t>GALLONS</t>
  </si>
  <si>
    <t>1/2 CUPS</t>
  </si>
  <si>
    <t>°C</t>
  </si>
  <si>
    <t>K</t>
  </si>
  <si>
    <t>Ounce</t>
  </si>
  <si>
    <t>Celsius</t>
  </si>
  <si>
    <t>1 gallon</t>
  </si>
  <si>
    <t>4 quarts</t>
  </si>
  <si>
    <t>1/2 cup</t>
  </si>
  <si>
    <t>4 ounces</t>
  </si>
  <si>
    <t>gal</t>
  </si>
  <si>
    <t>Gallon</t>
  </si>
  <si>
    <t>Kelvin</t>
  </si>
  <si>
    <t>8 pints</t>
  </si>
  <si>
    <t>120 ml</t>
  </si>
  <si>
    <t>qt.</t>
  </si>
  <si>
    <t>Quart</t>
  </si>
  <si>
    <t>16 cups</t>
  </si>
  <si>
    <t>8 Tablespoons</t>
  </si>
  <si>
    <t>pt.</t>
  </si>
  <si>
    <t>Pint</t>
  </si>
  <si>
    <t>EGG TIMER</t>
  </si>
  <si>
    <t>128 ounces</t>
  </si>
  <si>
    <t>24 teaspoons</t>
  </si>
  <si>
    <t xml:space="preserve">Gas </t>
  </si>
  <si>
    <t>Oven Temperatures</t>
  </si>
  <si>
    <t>cups</t>
  </si>
  <si>
    <t>Cup</t>
  </si>
  <si>
    <t>Soft</t>
  </si>
  <si>
    <t>3.8 liters</t>
  </si>
  <si>
    <t>1/2</t>
  </si>
  <si>
    <t>Very Slow</t>
  </si>
  <si>
    <t>Fluid Ounce</t>
  </si>
  <si>
    <t>Medium</t>
  </si>
  <si>
    <t>QUARTS</t>
  </si>
  <si>
    <t>1/4 CUPS</t>
  </si>
  <si>
    <t>Tablespoon</t>
  </si>
  <si>
    <t>Hard</t>
  </si>
  <si>
    <t>1 quart</t>
  </si>
  <si>
    <t>2 pints</t>
  </si>
  <si>
    <t>1/4 cup</t>
  </si>
  <si>
    <t>2 ounces</t>
  </si>
  <si>
    <t>Slow</t>
  </si>
  <si>
    <t>tsp</t>
  </si>
  <si>
    <t>Teaspoon</t>
  </si>
  <si>
    <t>4 cups</t>
  </si>
  <si>
    <t>60 ml</t>
  </si>
  <si>
    <t>in.</t>
  </si>
  <si>
    <t>Inch</t>
  </si>
  <si>
    <t>32 ounces</t>
  </si>
  <si>
    <t>4 tablespoons</t>
  </si>
  <si>
    <t>Moderate</t>
  </si>
  <si>
    <t>ml.</t>
  </si>
  <si>
    <t>Milliliter</t>
  </si>
  <si>
    <t>.95 liters</t>
  </si>
  <si>
    <t>3 teaspoons</t>
  </si>
  <si>
    <t>L.</t>
  </si>
  <si>
    <t>Liter</t>
  </si>
  <si>
    <t>PINTS</t>
  </si>
  <si>
    <t>VOLUMES</t>
  </si>
  <si>
    <t>Mod Hot</t>
  </si>
  <si>
    <t>g.</t>
  </si>
  <si>
    <t>Gram</t>
  </si>
  <si>
    <t>1 pint</t>
  </si>
  <si>
    <t>A Pinch</t>
  </si>
  <si>
    <t>1/16 Teaspoon</t>
  </si>
  <si>
    <t>Hot</t>
  </si>
  <si>
    <t>mg.</t>
  </si>
  <si>
    <t>Milligram</t>
  </si>
  <si>
    <t>A Dash</t>
  </si>
  <si>
    <t>1/8 Teaspoon</t>
  </si>
  <si>
    <t>kg.</t>
  </si>
  <si>
    <t>Kilogram</t>
  </si>
  <si>
    <t>480 ml</t>
  </si>
  <si>
    <t>1 tsp</t>
  </si>
  <si>
    <t>5 ml</t>
  </si>
  <si>
    <t>Very Hot</t>
  </si>
  <si>
    <t>dash</t>
  </si>
  <si>
    <t>CUPS</t>
  </si>
  <si>
    <t>1 tbsp.</t>
  </si>
  <si>
    <t>15 ml</t>
  </si>
  <si>
    <t>pinch</t>
  </si>
  <si>
    <t>1 Cup</t>
  </si>
  <si>
    <t>8 ounces</t>
  </si>
  <si>
    <t>1 cup</t>
  </si>
  <si>
    <t>240 ml</t>
  </si>
  <si>
    <t>taste</t>
  </si>
  <si>
    <t>POUNDS</t>
  </si>
  <si>
    <t>ea</t>
  </si>
  <si>
    <t>16 Tablespoons</t>
  </si>
  <si>
    <t>48 Teaspoons</t>
  </si>
  <si>
    <t xml:space="preserve">1 Pound </t>
  </si>
  <si>
    <t>16 ounces</t>
  </si>
  <si>
    <t>BUTTER WEIGHT</t>
  </si>
  <si>
    <t>OUNCES</t>
  </si>
  <si>
    <t>Grams</t>
  </si>
  <si>
    <t>Ounces</t>
  </si>
  <si>
    <t>1 ounce</t>
  </si>
  <si>
    <t>28.35 grams</t>
  </si>
  <si>
    <t>1 Stick</t>
  </si>
  <si>
    <t>g</t>
  </si>
  <si>
    <t>SALT</t>
  </si>
  <si>
    <t>1/2 Stick</t>
  </si>
  <si>
    <t>5.9 Grams</t>
  </si>
  <si>
    <t>1 Teaspoon</t>
  </si>
  <si>
    <t>SUGAR</t>
  </si>
  <si>
    <t>1  1/2 Cup</t>
  </si>
  <si>
    <t>4.2 Grams</t>
  </si>
  <si>
    <t>1 lb.</t>
  </si>
  <si>
    <t>SUBSTITIUIONS</t>
  </si>
  <si>
    <t>Herbs:</t>
  </si>
  <si>
    <t>1 Egg:</t>
  </si>
  <si>
    <t>1 Tbsp fresh = 1 tsp dry</t>
  </si>
  <si>
    <t>1 Tbsp ground flax or chia seed + 3 Tbsp water</t>
  </si>
  <si>
    <t>4 Tbsp applesauce</t>
  </si>
  <si>
    <t>1/2 of a medium mashed bannana</t>
  </si>
  <si>
    <t>1 Cup of Sugar:</t>
  </si>
  <si>
    <t>1 Cup Buttermilk:</t>
  </si>
  <si>
    <t>3/4 cup honey</t>
  </si>
  <si>
    <t>1 tbsp lemon juice or vinegar + enough milk to equal 1 Cup (before baking, let stand for a few minutes before using.)</t>
  </si>
  <si>
    <t>3/4 maple syrup</t>
  </si>
  <si>
    <t>2/3 cup agave nectar</t>
  </si>
  <si>
    <t>1 tsp. stevia</t>
  </si>
  <si>
    <t>Conversion Formulas</t>
  </si>
  <si>
    <r>
      <t>(32</t>
    </r>
    <r>
      <rPr>
        <b/>
        <sz val="11"/>
        <color theme="1"/>
        <rFont val="Aptos Narrow"/>
        <family val="2"/>
        <scheme val="minor"/>
      </rPr>
      <t>°F</t>
    </r>
    <r>
      <rPr>
        <sz val="11"/>
        <color theme="1"/>
        <rFont val="Aptos Narrow"/>
        <family val="2"/>
        <scheme val="minor"/>
      </rPr>
      <t xml:space="preserve"> − 32) × 5/9 + 273.15 = 273.15</t>
    </r>
    <r>
      <rPr>
        <b/>
        <sz val="11"/>
        <color theme="1"/>
        <rFont val="Aptos Narrow"/>
        <family val="2"/>
        <scheme val="minor"/>
      </rPr>
      <t>K</t>
    </r>
  </si>
  <si>
    <r>
      <t>(32</t>
    </r>
    <r>
      <rPr>
        <b/>
        <sz val="11"/>
        <color theme="1"/>
        <rFont val="Aptos Narrow"/>
        <family val="2"/>
        <scheme val="minor"/>
      </rPr>
      <t>°F</t>
    </r>
    <r>
      <rPr>
        <sz val="11"/>
        <color theme="1"/>
        <rFont val="Aptos Narrow"/>
        <family val="2"/>
        <scheme val="minor"/>
      </rPr>
      <t xml:space="preserve"> − 32) × 5/9 = </t>
    </r>
    <r>
      <rPr>
        <b/>
        <sz val="11"/>
        <color theme="1"/>
        <rFont val="Aptos Narrow"/>
        <family val="2"/>
        <scheme val="minor"/>
      </rPr>
      <t>°C</t>
    </r>
  </si>
  <si>
    <r>
      <t>32</t>
    </r>
    <r>
      <rPr>
        <b/>
        <sz val="11"/>
        <color theme="1"/>
        <rFont val="Aptos Narrow"/>
        <family val="2"/>
        <scheme val="minor"/>
      </rPr>
      <t>°C</t>
    </r>
    <r>
      <rPr>
        <sz val="11"/>
        <color theme="1"/>
        <rFont val="Aptos Narrow"/>
        <family val="2"/>
        <scheme val="minor"/>
      </rPr>
      <t xml:space="preserve"> + 273.15 = 305.15</t>
    </r>
    <r>
      <rPr>
        <b/>
        <sz val="11"/>
        <color theme="1"/>
        <rFont val="Aptos Narrow"/>
        <family val="2"/>
        <scheme val="minor"/>
      </rPr>
      <t>K</t>
    </r>
  </si>
  <si>
    <r>
      <t>(32</t>
    </r>
    <r>
      <rPr>
        <b/>
        <sz val="11"/>
        <color theme="1"/>
        <rFont val="Aptos Narrow"/>
        <family val="2"/>
        <scheme val="minor"/>
      </rPr>
      <t>°C</t>
    </r>
    <r>
      <rPr>
        <sz val="11"/>
        <color theme="1"/>
        <rFont val="Aptos Narrow"/>
        <family val="2"/>
        <scheme val="minor"/>
      </rPr>
      <t xml:space="preserve"> × 9/5) + 32 = 89.6</t>
    </r>
    <r>
      <rPr>
        <b/>
        <sz val="11"/>
        <color theme="1"/>
        <rFont val="Aptos Narrow"/>
        <family val="2"/>
        <scheme val="minor"/>
      </rPr>
      <t>°F</t>
    </r>
  </si>
  <si>
    <r>
      <t>32</t>
    </r>
    <r>
      <rPr>
        <b/>
        <sz val="11"/>
        <color theme="1"/>
        <rFont val="Aptos Narrow"/>
        <family val="2"/>
        <scheme val="minor"/>
      </rPr>
      <t>K</t>
    </r>
    <r>
      <rPr>
        <sz val="11"/>
        <color theme="1"/>
        <rFont val="Aptos Narrow"/>
        <family val="2"/>
        <scheme val="minor"/>
      </rPr>
      <t xml:space="preserve"> − 273.15 = -241.1</t>
    </r>
    <r>
      <rPr>
        <b/>
        <sz val="11"/>
        <color theme="1"/>
        <rFont val="Aptos Narrow"/>
        <family val="2"/>
        <scheme val="minor"/>
      </rPr>
      <t>°C</t>
    </r>
  </si>
  <si>
    <r>
      <t>(32</t>
    </r>
    <r>
      <rPr>
        <b/>
        <sz val="11"/>
        <color theme="1"/>
        <rFont val="Aptos Narrow"/>
        <family val="2"/>
        <scheme val="minor"/>
      </rPr>
      <t>K</t>
    </r>
    <r>
      <rPr>
        <sz val="11"/>
        <color theme="1"/>
        <rFont val="Aptos Narrow"/>
        <family val="2"/>
        <scheme val="minor"/>
      </rPr>
      <t xml:space="preserve"> − 273.15) × 9/5 + 32 = -402.1</t>
    </r>
    <r>
      <rPr>
        <b/>
        <sz val="11"/>
        <color theme="1"/>
        <rFont val="Aptos Narrow"/>
        <family val="2"/>
        <scheme val="minor"/>
      </rPr>
      <t>°F</t>
    </r>
  </si>
  <si>
    <t>Multiply</t>
  </si>
  <si>
    <t>milligram</t>
  </si>
  <si>
    <t>kilogram</t>
  </si>
  <si>
    <t>Divide</t>
  </si>
  <si>
    <t>Imperial</t>
  </si>
  <si>
    <t>Metric</t>
  </si>
  <si>
    <t>Scoop Number</t>
  </si>
  <si>
    <t>Approximate Weight</t>
  </si>
  <si>
    <t>2/3 Cup</t>
  </si>
  <si>
    <t>5 oz</t>
  </si>
  <si>
    <t>100 mL</t>
  </si>
  <si>
    <t>140 g</t>
  </si>
  <si>
    <t>1/4 Cup</t>
  </si>
  <si>
    <t>4 oz</t>
  </si>
  <si>
    <t>120 mL</t>
  </si>
  <si>
    <t>110 g</t>
  </si>
  <si>
    <t>3 fl oz</t>
  </si>
  <si>
    <t>3 - 3 1/2 oz</t>
  </si>
  <si>
    <t>90 mL</t>
  </si>
  <si>
    <t>85 - 100 g</t>
  </si>
  <si>
    <t>2 1/2 - 3 oz</t>
  </si>
  <si>
    <t>50 mL</t>
  </si>
  <si>
    <t>70 - 85 g</t>
  </si>
  <si>
    <t>2 -2 1/2  oz</t>
  </si>
  <si>
    <t>60 mL</t>
  </si>
  <si>
    <t>60 - 70 g</t>
  </si>
  <si>
    <t>1 1/2 fl oz</t>
  </si>
  <si>
    <t>1 3/4 oz</t>
  </si>
  <si>
    <t>45 mL</t>
  </si>
  <si>
    <t>50 g</t>
  </si>
  <si>
    <t>1 1/3 oz</t>
  </si>
  <si>
    <t>40 mL</t>
  </si>
  <si>
    <t>40 g</t>
  </si>
  <si>
    <t>1 fl oz</t>
  </si>
  <si>
    <t>1 oz</t>
  </si>
  <si>
    <t>30 mL</t>
  </si>
  <si>
    <t>30 g</t>
  </si>
  <si>
    <t>0.8 fl oz</t>
  </si>
  <si>
    <t>0.8 oz</t>
  </si>
  <si>
    <t>24 mL</t>
  </si>
  <si>
    <t>23 g</t>
  </si>
  <si>
    <t>1/2 fl oz</t>
  </si>
  <si>
    <t>1/2 oz</t>
  </si>
  <si>
    <t>15 mL</t>
  </si>
  <si>
    <t>15 g</t>
  </si>
  <si>
    <t>Product</t>
  </si>
  <si>
    <t xml:space="preserve"> Farenheit</t>
  </si>
  <si>
    <t xml:space="preserve"> Celcius</t>
  </si>
  <si>
    <t>Raw shell eggs for immediate service, any fish and meat not mentioned below</t>
  </si>
  <si>
    <t>145°F</t>
  </si>
  <si>
    <t>63°C</t>
  </si>
  <si>
    <t>for 15 seconds</t>
  </si>
  <si>
    <t>Ground fish, gound meat,and meat mixtures</t>
  </si>
  <si>
    <t>160°F</t>
  </si>
  <si>
    <t>71.1°C</t>
  </si>
  <si>
    <t>Ratities (ostrich, emu; injected meats, raw eggs not prepared for immediate serice,;inspecdted game animals; mechanically tenderized meats</t>
  </si>
  <si>
    <t>155°F</t>
  </si>
  <si>
    <t>68°C</t>
  </si>
  <si>
    <t>Polutry; wild game; stuffed fish; stuffed meats; stuffed pasta; stuffed poultry; stuffed ratities (ostrich, emu); stuffing containg fish; meat, poultry, or ratites; any dish containg previously cooked foods</t>
  </si>
  <si>
    <t>165°F</t>
  </si>
  <si>
    <t>74°C</t>
  </si>
  <si>
    <t>All raw animal foods cooked in a microwave</t>
  </si>
  <si>
    <t>Rotate or stir the food midway through cooking process, cover to retain moisture, and let stand covered for 2 minuets following cooking to allow for post cooking heat to rise.</t>
  </si>
  <si>
    <t>Whole beef roast, pork roast, and ham</t>
  </si>
  <si>
    <t>Any of the following combinations of time and temperature</t>
  </si>
  <si>
    <t>130°F</t>
  </si>
  <si>
    <t>54.4°C</t>
  </si>
  <si>
    <t>131°F</t>
  </si>
  <si>
    <t>55°C</t>
  </si>
  <si>
    <t>133°F</t>
  </si>
  <si>
    <t>56.1°C</t>
  </si>
  <si>
    <t>135°F</t>
  </si>
  <si>
    <t>57.2°C</t>
  </si>
  <si>
    <t>136°F</t>
  </si>
  <si>
    <t>57.8°C</t>
  </si>
  <si>
    <t>138°F</t>
  </si>
  <si>
    <t>58.9°C</t>
  </si>
  <si>
    <t>140°F</t>
  </si>
  <si>
    <t>60°C</t>
  </si>
  <si>
    <t>142°F</t>
  </si>
  <si>
    <t>61.1°C</t>
  </si>
  <si>
    <t>144°F</t>
  </si>
  <si>
    <t>62.2°C</t>
  </si>
  <si>
    <t>62.8°C</t>
  </si>
  <si>
    <t>Raw vegetables and fruits</t>
  </si>
  <si>
    <t>40°F</t>
  </si>
  <si>
    <t>-</t>
  </si>
  <si>
    <t>45°F</t>
  </si>
  <si>
    <t>4°C</t>
  </si>
  <si>
    <t>7°C</t>
  </si>
  <si>
    <t>Eggs</t>
  </si>
  <si>
    <t>35°F</t>
  </si>
  <si>
    <t>3°C</t>
  </si>
  <si>
    <t>Milk and cream</t>
  </si>
  <si>
    <t>36°F</t>
  </si>
  <si>
    <t>2°C</t>
  </si>
  <si>
    <t>Poultry and meat</t>
  </si>
  <si>
    <t>32°F</t>
  </si>
  <si>
    <t>0°C</t>
  </si>
  <si>
    <t>Fish and seafood</t>
  </si>
  <si>
    <t>30°F</t>
  </si>
  <si>
    <t>34°F</t>
  </si>
  <si>
    <t>-1°C</t>
  </si>
  <si>
    <t>1°C</t>
  </si>
  <si>
    <t>Station</t>
  </si>
  <si>
    <t>Clientele</t>
  </si>
  <si>
    <t>Meal</t>
  </si>
  <si>
    <t>Measure</t>
  </si>
  <si>
    <t>Degree</t>
  </si>
  <si>
    <t xml:space="preserve">Garnish </t>
  </si>
  <si>
    <t>AP Weight</t>
  </si>
  <si>
    <t>Hotel</t>
  </si>
  <si>
    <t>Breakfast</t>
  </si>
  <si>
    <t>Cups</t>
  </si>
  <si>
    <r>
      <rPr>
        <sz val="11"/>
        <color theme="1"/>
        <rFont val="Calibri"/>
        <family val="2"/>
      </rPr>
      <t>°</t>
    </r>
    <r>
      <rPr>
        <sz val="11"/>
        <color theme="1"/>
        <rFont val="Aptos Narrow"/>
        <family val="2"/>
        <scheme val="minor"/>
      </rPr>
      <t>F</t>
    </r>
  </si>
  <si>
    <t>ea.</t>
  </si>
  <si>
    <t>Grill Cook</t>
  </si>
  <si>
    <t>EP Weight</t>
  </si>
  <si>
    <t>Hospital</t>
  </si>
  <si>
    <t>Lunch</t>
  </si>
  <si>
    <t>Dash</t>
  </si>
  <si>
    <r>
      <rPr>
        <sz val="11"/>
        <color theme="1"/>
        <rFont val="Calibri"/>
        <family val="2"/>
      </rPr>
      <t>°</t>
    </r>
    <r>
      <rPr>
        <sz val="11"/>
        <color theme="1"/>
        <rFont val="Aptos Narrow"/>
        <family val="2"/>
        <scheme val="minor"/>
      </rPr>
      <t>C</t>
    </r>
  </si>
  <si>
    <t>Prep Cook</t>
  </si>
  <si>
    <t>School</t>
  </si>
  <si>
    <t>Dinner</t>
  </si>
  <si>
    <t>Each</t>
  </si>
  <si>
    <t>Sus Chef</t>
  </si>
  <si>
    <t>Employee Food Service</t>
  </si>
  <si>
    <t>Catering/Banquet</t>
  </si>
  <si>
    <t>Fast-Food</t>
  </si>
  <si>
    <t>Full-Service</t>
  </si>
  <si>
    <t>Milliter</t>
  </si>
  <si>
    <t>Pinch</t>
  </si>
  <si>
    <t>Taste</t>
  </si>
  <si>
    <t>lb</t>
  </si>
  <si>
    <t>oz</t>
  </si>
  <si>
    <t>Salt</t>
  </si>
  <si>
    <t>Fresh cilantro leaves</t>
  </si>
  <si>
    <t>cup</t>
  </si>
  <si>
    <t>Jalapenos</t>
  </si>
  <si>
    <t>Sour cream</t>
  </si>
  <si>
    <t>Fresh lime juice</t>
  </si>
  <si>
    <t>tbsp</t>
  </si>
  <si>
    <t>bunch</t>
  </si>
  <si>
    <t>Mayonnaise</t>
  </si>
  <si>
    <t>Ingredient</t>
  </si>
  <si>
    <t>From Unit</t>
  </si>
  <si>
    <t>To Unit</t>
  </si>
  <si>
    <t>Factor</t>
  </si>
  <si>
    <t>Bagels 6</t>
  </si>
  <si>
    <t>Wing Flings</t>
  </si>
  <si>
    <t>Confit Garlic</t>
  </si>
  <si>
    <t>Creamy Cilantro Garlic Sauce</t>
  </si>
  <si>
    <t>Latco Fermented Jalapeno Sauce</t>
  </si>
  <si>
    <t>Orange Ice Cream</t>
  </si>
  <si>
    <t>Kaiser Roll Flour Blend</t>
  </si>
  <si>
    <t>Egg Wash</t>
  </si>
  <si>
    <t>Bourbon Caramel Sauce</t>
  </si>
  <si>
    <t>Lemon Dill Potatoes</t>
  </si>
  <si>
    <t>Ravioli with Ricotta and Dill</t>
  </si>
  <si>
    <t>Ravioli Ricotta Dill.jpeg</t>
  </si>
  <si>
    <t>d:\Documents\Culinary\Personal Recipes\Recipe Images\Costing Sheets\Ravioli Ricotta Dill.jpeg</t>
  </si>
  <si>
    <t>Beignets</t>
  </si>
  <si>
    <t>beignets.jpeg</t>
  </si>
  <si>
    <t>d:\Documents\Culinary\Personal Recipes\Recipe Images\Costing Sheets\beignets.jpeg</t>
  </si>
  <si>
    <t>Bagels</t>
  </si>
  <si>
    <t>Bagels.jpg</t>
  </si>
  <si>
    <t>D:\Documents\Culinary\Personal Recipes\Costing Sheets\Recipe Images\Bagels.jpg</t>
  </si>
  <si>
    <t>Cinnamon Raisin Bagel</t>
  </si>
  <si>
    <t>Cinnamon Rasisin Bagel.jpeg</t>
  </si>
  <si>
    <t>D:\Documents\Culinary\Personal Recipes\Recipe Images\Costing Sheets\Cinnamon Rasisin Bagel.jpeg</t>
  </si>
  <si>
    <t>Mayonnaise HM</t>
  </si>
  <si>
    <t>Mayonnaise.jpeg</t>
  </si>
  <si>
    <t>D:\Documents\Culinary\Personal Recipes\Recipe Images\Costing Sheets\Mayonnaise.jpeg</t>
  </si>
  <si>
    <t>Baguette Dough 68% Hydration</t>
  </si>
  <si>
    <t>Baguettes.jpg</t>
  </si>
  <si>
    <t>d:\Documents\Culinary\Personal Recipes\Costing Sheets\Recipe Images\Baguettes.jpg</t>
  </si>
  <si>
    <t>Strawberry Sheet Cake</t>
  </si>
  <si>
    <t>Strawberry Sheet cake.jpg</t>
  </si>
  <si>
    <t>D:\Documents\Culinary\Personal Recipes\Costing Sheets\Recipe Images\Strawberry Sheet cake.jpg</t>
  </si>
  <si>
    <t>Brown Sugar Ice Cream</t>
  </si>
  <si>
    <t>Brown Sugar Ice crea.jpg</t>
  </si>
  <si>
    <t>D:\Documents\Culinary\Personal Recipes\Costing Sheets\Recipe Images\Brown Sugar Ice crea.jpg</t>
  </si>
  <si>
    <t>Smoked Paprika Mayonnaise HM</t>
  </si>
  <si>
    <t>Smoke Paprika Mayo.jpg</t>
  </si>
  <si>
    <t>D:\Documents\Culinary\Personal Recipes\Costing Sheets\Recipe Images\Smoke Paprika Mayo.jpg</t>
  </si>
  <si>
    <t>egg wash.jpeg</t>
  </si>
  <si>
    <t>D:\Documents\Culinary\Personal Recipes\Costing Sheets\Recipe Images\egg wash.jpeg</t>
  </si>
  <si>
    <t>Kaiser Rolls.jpg</t>
  </si>
  <si>
    <t>D:\Documents\Culinary\Personal Recipes\Costing Sheets\Recipe Images\Kaiser Rolls.jpg</t>
  </si>
  <si>
    <t>Orangr Ice cream.jpeg</t>
  </si>
  <si>
    <t>D:\Documents\Culinary\Personal Recipes\Costing Sheets\Recipe Images\Orangr Ice cream.jpeg</t>
  </si>
  <si>
    <t>Confit Garlic.jpg</t>
  </si>
  <si>
    <t>D:\Documents\Culinary\Personal Recipes\Costing Sheets\Recipe Images\Confit Garlic.jpg</t>
  </si>
  <si>
    <t>Tart Dough (Pâte Sucrée)</t>
  </si>
  <si>
    <t>Average Yield per Recipe</t>
  </si>
  <si>
    <t>Avg Total Recipe Cost</t>
  </si>
  <si>
    <t>Avg Profit per Portion</t>
  </si>
  <si>
    <t>Avg Markup %</t>
  </si>
  <si>
    <t>Avg Labor % of Total Cost</t>
  </si>
  <si>
    <t>Pickled Mini Cucumbers</t>
  </si>
  <si>
    <t>Roasted Beet Salad</t>
  </si>
  <si>
    <t>Milky Chinchin</t>
  </si>
  <si>
    <t>Bagels 12</t>
  </si>
  <si>
    <t>Buttermilk Oven-Fried Chicken</t>
  </si>
  <si>
    <t>Smoked Paprika Mayonnaise</t>
  </si>
  <si>
    <t>Egg Salad</t>
  </si>
  <si>
    <t>Crispy Batter Mix</t>
  </si>
  <si>
    <t>Scone Flour</t>
  </si>
  <si>
    <t>Blueberry Muffins 12</t>
  </si>
  <si>
    <t>Blueberry Muffins 6</t>
  </si>
  <si>
    <t>Muffins 12</t>
  </si>
  <si>
    <t>Muffins 6</t>
  </si>
  <si>
    <t>Cranberry Muffins 12</t>
  </si>
  <si>
    <t>Cranberry Muffins 6</t>
  </si>
  <si>
    <t>Lemon Poppy Seed Muffins 6</t>
  </si>
  <si>
    <t>Biscuits 10</t>
  </si>
  <si>
    <t>Biscuits 15</t>
  </si>
  <si>
    <t>Pancakes 12</t>
  </si>
  <si>
    <t>Pancakes 24</t>
  </si>
  <si>
    <t>Flatbread</t>
  </si>
  <si>
    <t>Flatbread Half</t>
  </si>
  <si>
    <t>Flatbread Gulten Free</t>
  </si>
  <si>
    <t>Cranberry Cornbread</t>
  </si>
  <si>
    <t>French Bread 1 lb</t>
  </si>
  <si>
    <t>French Bread 2 lb</t>
  </si>
  <si>
    <t>Hot Sausage,Beef Empanadas</t>
  </si>
  <si>
    <t>Hot Sausage,Beef Empanadas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</si>
</sst>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"/>
    <numFmt numFmtId="165" formatCode="&quot;$&quot;#,##0.00"/>
    <numFmt numFmtId="166" formatCode="0.000"/>
    <numFmt numFmtId="167" formatCode="#,##0.000_);[Red]\(#,##0.000\)"/>
    <numFmt numFmtId="168" formatCode="0.0000"/>
    <numFmt numFmtId="169" formatCode="0.0"/>
    <numFmt numFmtId="170" formatCode="_(\$* #,##0.00_);_(\$* \(#,##0.00\);_(\$* \-??_);_(@_)"/>
    <numFmt numFmtId="171" formatCode="0.0%"/>
  </numFmts>
  <fonts count="4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0"/>
      <color theme="0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b/>
      <sz val="12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6"/>
      <color theme="1"/>
      <name val="Calibri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6"/>
      <color rgb="FF000000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2"/>
      <color rgb="FF000000"/>
      <name val="Calibri"/>
      <family val="2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rial Unicode MS"/>
    </font>
    <font>
      <b/>
      <sz val="36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3"/>
      <name val="Calibri"/>
      <family val="2"/>
    </font>
    <font>
      <b/>
      <sz val="15"/>
      <color theme="3"/>
      <name val="Calibri"/>
      <family val="2"/>
    </font>
    <font>
      <b/>
      <sz val="12"/>
      <color theme="1"/>
      <name val="Calibri"/>
      <family val="2"/>
    </font>
    <font>
      <sz val="11"/>
      <color rgb="FF006100"/>
      <name val="Calibri"/>
      <family val="2"/>
    </font>
    <font>
      <sz val="11"/>
      <color theme="1"/>
      <name val="Calibri"/>
      <family val="2"/>
    </font>
    <font>
      <b/>
      <sz val="12"/>
      <name val="Calibri"/>
      <family val="2"/>
    </font>
    <font>
      <sz val="10"/>
      <color rgb="FF000000"/>
      <name val="Aptos Narrow"/>
      <family val="2"/>
      <scheme val="minor"/>
    </font>
    <font>
      <sz val="11"/>
      <color rgb="FF000000"/>
      <name val="Calibri"/>
      <family val="2"/>
      <charset val="1"/>
    </font>
  </fonts>
  <fills count="2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D9EAD3"/>
        <bgColor rgb="FFD9EAD3"/>
      </patternFill>
    </fill>
    <fill>
      <patternFill patternType="solid">
        <fgColor theme="0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6" tint="0.79998168889431442"/>
        <bgColor rgb="FFD9EAD3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B"/>
        <bgColor indexed="64"/>
      </patternFill>
    </fill>
    <fill>
      <patternFill patternType="solid">
        <fgColor theme="9" tint="0.59999389629810485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rgb="FFF4CC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D9EAD3"/>
      </patternFill>
    </fill>
    <fill>
      <patternFill patternType="solid">
        <fgColor rgb="FFFFB7B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0" applyNumberFormat="0" applyBorder="0" applyAlignment="0" applyProtection="0"/>
    <xf numFmtId="0" fontId="7" fillId="0" borderId="0"/>
    <xf numFmtId="0" fontId="7" fillId="0" borderId="0"/>
    <xf numFmtId="44" fontId="7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" fillId="0" borderId="0"/>
    <xf numFmtId="0" fontId="44" fillId="0" borderId="0"/>
    <xf numFmtId="44" fontId="7" fillId="0" borderId="0" applyFont="0" applyFill="0" applyBorder="0" applyAlignment="0" applyProtection="0"/>
    <xf numFmtId="0" fontId="7" fillId="0" borderId="0"/>
    <xf numFmtId="170" fontId="45" fillId="0" borderId="0" applyBorder="0" applyProtection="0"/>
  </cellStyleXfs>
  <cellXfs count="213">
    <xf numFmtId="0" fontId="0" fillId="0" borderId="0" xfId="0"/>
    <xf numFmtId="0" fontId="7" fillId="0" borderId="0" xfId="7"/>
    <xf numFmtId="0" fontId="10" fillId="4" borderId="0" xfId="7" applyFont="1" applyFill="1" applyProtection="1">
      <protection locked="0"/>
    </xf>
    <xf numFmtId="164" fontId="11" fillId="0" borderId="0" xfId="7" applyNumberFormat="1" applyFont="1"/>
    <xf numFmtId="164" fontId="8" fillId="0" borderId="0" xfId="7" applyNumberFormat="1" applyFont="1"/>
    <xf numFmtId="164" fontId="8" fillId="0" borderId="0" xfId="7" applyNumberFormat="1" applyFont="1" applyAlignment="1">
      <alignment horizontal="right"/>
    </xf>
    <xf numFmtId="165" fontId="12" fillId="5" borderId="0" xfId="7" applyNumberFormat="1" applyFont="1" applyFill="1" applyAlignment="1">
      <alignment horizontal="center"/>
    </xf>
    <xf numFmtId="164" fontId="8" fillId="0" borderId="0" xfId="7" applyNumberFormat="1" applyFont="1" applyAlignment="1">
      <alignment horizontal="center"/>
    </xf>
    <xf numFmtId="3" fontId="12" fillId="6" borderId="0" xfId="7" applyNumberFormat="1" applyFont="1" applyFill="1" applyAlignment="1" applyProtection="1">
      <alignment horizontal="center"/>
      <protection locked="0"/>
    </xf>
    <xf numFmtId="164" fontId="13" fillId="0" borderId="0" xfId="7" applyNumberFormat="1" applyFont="1" applyAlignment="1">
      <alignment horizontal="right"/>
    </xf>
    <xf numFmtId="164" fontId="14" fillId="7" borderId="0" xfId="7" applyNumberFormat="1" applyFont="1" applyFill="1" applyAlignment="1">
      <alignment horizontal="center" vertical="center"/>
    </xf>
    <xf numFmtId="164" fontId="15" fillId="0" borderId="0" xfId="7" applyNumberFormat="1" applyFont="1"/>
    <xf numFmtId="49" fontId="16" fillId="8" borderId="0" xfId="7" applyNumberFormat="1" applyFont="1" applyFill="1" applyAlignment="1">
      <alignment horizontal="center" vertical="center"/>
    </xf>
    <xf numFmtId="49" fontId="16" fillId="8" borderId="0" xfId="7" applyNumberFormat="1" applyFont="1" applyFill="1" applyAlignment="1">
      <alignment horizontal="center"/>
    </xf>
    <xf numFmtId="164" fontId="12" fillId="0" borderId="0" xfId="7" applyNumberFormat="1" applyFont="1"/>
    <xf numFmtId="164" fontId="14" fillId="9" borderId="0" xfId="7" applyNumberFormat="1" applyFont="1" applyFill="1" applyAlignment="1">
      <alignment horizontal="center" vertical="center"/>
    </xf>
    <xf numFmtId="0" fontId="12" fillId="10" borderId="0" xfId="7" applyFont="1" applyFill="1" applyAlignment="1" applyProtection="1">
      <alignment horizontal="center"/>
      <protection locked="0"/>
    </xf>
    <xf numFmtId="9" fontId="12" fillId="3" borderId="0" xfId="7" applyNumberFormat="1" applyFont="1" applyFill="1" applyAlignment="1" applyProtection="1">
      <alignment horizontal="center"/>
      <protection locked="0"/>
    </xf>
    <xf numFmtId="165" fontId="12" fillId="11" borderId="0" xfId="7" applyNumberFormat="1" applyFont="1" applyFill="1" applyAlignment="1">
      <alignment horizontal="center"/>
    </xf>
    <xf numFmtId="164" fontId="14" fillId="0" borderId="0" xfId="7" applyNumberFormat="1" applyFont="1" applyAlignment="1">
      <alignment horizontal="right"/>
    </xf>
    <xf numFmtId="0" fontId="11" fillId="12" borderId="0" xfId="7" applyFont="1" applyFill="1" applyAlignment="1" applyProtection="1">
      <alignment horizontal="center" vertical="center"/>
      <protection locked="0"/>
    </xf>
    <xf numFmtId="0" fontId="17" fillId="0" borderId="0" xfId="7" applyFont="1"/>
    <xf numFmtId="2" fontId="11" fillId="0" borderId="0" xfId="7" applyNumberFormat="1" applyFont="1"/>
    <xf numFmtId="166" fontId="12" fillId="10" borderId="0" xfId="7" applyNumberFormat="1" applyFont="1" applyFill="1" applyAlignment="1" applyProtection="1">
      <alignment horizontal="center"/>
      <protection locked="0"/>
    </xf>
    <xf numFmtId="0" fontId="11" fillId="13" borderId="0" xfId="7" applyFont="1" applyFill="1" applyAlignment="1" applyProtection="1">
      <alignment horizontal="center" vertical="center"/>
      <protection locked="0"/>
    </xf>
    <xf numFmtId="164" fontId="15" fillId="0" borderId="0" xfId="7" applyNumberFormat="1" applyFont="1" applyAlignment="1">
      <alignment horizontal="left"/>
    </xf>
    <xf numFmtId="165" fontId="12" fillId="14" borderId="0" xfId="7" applyNumberFormat="1" applyFont="1" applyFill="1" applyAlignment="1">
      <alignment horizontal="center"/>
    </xf>
    <xf numFmtId="2" fontId="11" fillId="8" borderId="0" xfId="7" applyNumberFormat="1" applyFont="1" applyFill="1" applyAlignment="1">
      <alignment horizontal="center" vertical="center"/>
    </xf>
    <xf numFmtId="164" fontId="8" fillId="0" borderId="0" xfId="7" applyNumberFormat="1" applyFont="1" applyAlignment="1">
      <alignment horizontal="left" vertical="center"/>
    </xf>
    <xf numFmtId="0" fontId="18" fillId="0" borderId="3" xfId="7" applyFont="1" applyBorder="1" applyAlignment="1">
      <alignment horizontal="left" vertical="center"/>
    </xf>
    <xf numFmtId="0" fontId="7" fillId="0" borderId="3" xfId="7" applyBorder="1"/>
    <xf numFmtId="9" fontId="18" fillId="0" borderId="3" xfId="2" applyFont="1" applyBorder="1" applyAlignment="1" applyProtection="1">
      <alignment horizontal="left" vertical="center"/>
    </xf>
    <xf numFmtId="164" fontId="8" fillId="0" borderId="0" xfId="7" applyNumberFormat="1" applyFont="1" applyAlignment="1">
      <alignment vertical="center"/>
    </xf>
    <xf numFmtId="0" fontId="7" fillId="0" borderId="0" xfId="7" applyAlignment="1">
      <alignment vertical="center"/>
    </xf>
    <xf numFmtId="164" fontId="11" fillId="0" borderId="0" xfId="7" applyNumberFormat="1" applyFont="1" applyAlignment="1">
      <alignment vertical="center"/>
    </xf>
    <xf numFmtId="2" fontId="15" fillId="0" borderId="0" xfId="7" applyNumberFormat="1" applyFont="1" applyAlignment="1">
      <alignment horizontal="left"/>
    </xf>
    <xf numFmtId="164" fontId="8" fillId="15" borderId="7" xfId="7" applyNumberFormat="1" applyFont="1" applyFill="1" applyBorder="1" applyAlignment="1">
      <alignment horizontal="center"/>
    </xf>
    <xf numFmtId="164" fontId="13" fillId="16" borderId="11" xfId="7" applyNumberFormat="1" applyFont="1" applyFill="1" applyBorder="1" applyAlignment="1">
      <alignment horizontal="center" vertical="center"/>
    </xf>
    <xf numFmtId="165" fontId="13" fillId="17" borderId="12" xfId="7" applyNumberFormat="1" applyFont="1" applyFill="1" applyBorder="1" applyAlignment="1">
      <alignment horizontal="center" vertical="center"/>
    </xf>
    <xf numFmtId="165" fontId="13" fillId="17" borderId="13" xfId="7" applyNumberFormat="1" applyFont="1" applyFill="1" applyBorder="1" applyAlignment="1">
      <alignment horizontal="center" vertical="center"/>
    </xf>
    <xf numFmtId="2" fontId="20" fillId="3" borderId="12" xfId="7" applyNumberFormat="1" applyFont="1" applyFill="1" applyBorder="1" applyAlignment="1" applyProtection="1">
      <alignment horizontal="right"/>
      <protection locked="0"/>
    </xf>
    <xf numFmtId="0" fontId="20" fillId="3" borderId="12" xfId="7" applyFont="1" applyFill="1" applyBorder="1" applyAlignment="1" applyProtection="1">
      <alignment horizontal="left"/>
      <protection locked="0"/>
    </xf>
    <xf numFmtId="167" fontId="20" fillId="17" borderId="12" xfId="7" applyNumberFormat="1" applyFont="1" applyFill="1" applyBorder="1" applyAlignment="1">
      <alignment horizontal="right"/>
    </xf>
    <xf numFmtId="165" fontId="20" fillId="5" borderId="12" xfId="7" applyNumberFormat="1" applyFont="1" applyFill="1" applyBorder="1" applyAlignment="1">
      <alignment horizontal="right"/>
    </xf>
    <xf numFmtId="0" fontId="6" fillId="0" borderId="0" xfId="0" applyFont="1"/>
    <xf numFmtId="164" fontId="14" fillId="8" borderId="20" xfId="7" applyNumberFormat="1" applyFont="1" applyFill="1" applyBorder="1"/>
    <xf numFmtId="164" fontId="14" fillId="8" borderId="21" xfId="7" applyNumberFormat="1" applyFont="1" applyFill="1" applyBorder="1"/>
    <xf numFmtId="164" fontId="14" fillId="8" borderId="22" xfId="7" applyNumberFormat="1" applyFont="1" applyFill="1" applyBorder="1"/>
    <xf numFmtId="0" fontId="23" fillId="0" borderId="0" xfId="0" applyFont="1" applyAlignment="1">
      <alignment vertical="center"/>
    </xf>
    <xf numFmtId="0" fontId="18" fillId="9" borderId="7" xfId="0" applyFont="1" applyFill="1" applyBorder="1" applyAlignment="1">
      <alignment horizontal="center" vertical="center" wrapText="1"/>
    </xf>
    <xf numFmtId="9" fontId="11" fillId="18" borderId="23" xfId="2" applyFont="1" applyFill="1" applyBorder="1" applyAlignment="1">
      <alignment horizontal="center" vertical="center"/>
    </xf>
    <xf numFmtId="9" fontId="11" fillId="19" borderId="0" xfId="2" applyFont="1" applyFill="1" applyAlignment="1">
      <alignment horizontal="center" vertical="center"/>
    </xf>
    <xf numFmtId="9" fontId="7" fillId="8" borderId="24" xfId="2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vertical="center"/>
    </xf>
    <xf numFmtId="9" fontId="0" fillId="18" borderId="0" xfId="0" applyNumberFormat="1" applyFill="1" applyAlignment="1">
      <alignment horizontal="center" vertical="center"/>
    </xf>
    <xf numFmtId="9" fontId="0" fillId="19" borderId="0" xfId="0" applyNumberFormat="1" applyFill="1" applyAlignment="1">
      <alignment horizontal="center" vertical="center"/>
    </xf>
    <xf numFmtId="0" fontId="0" fillId="0" borderId="0" xfId="0" applyAlignment="1">
      <alignment vertical="center"/>
    </xf>
    <xf numFmtId="164" fontId="11" fillId="0" borderId="23" xfId="7" applyNumberFormat="1" applyFont="1" applyBorder="1"/>
    <xf numFmtId="0" fontId="0" fillId="0" borderId="0" xfId="0" applyAlignment="1">
      <alignment horizontal="left" vertical="center" indent="1"/>
    </xf>
    <xf numFmtId="9" fontId="11" fillId="18" borderId="0" xfId="2" applyFont="1" applyFill="1" applyAlignment="1">
      <alignment horizontal="center"/>
    </xf>
    <xf numFmtId="9" fontId="11" fillId="19" borderId="0" xfId="2" applyFont="1" applyFill="1" applyAlignment="1">
      <alignment horizontal="center"/>
    </xf>
    <xf numFmtId="165" fontId="20" fillId="17" borderId="12" xfId="7" applyNumberFormat="1" applyFont="1" applyFill="1" applyBorder="1" applyAlignment="1">
      <alignment horizontal="right"/>
    </xf>
    <xf numFmtId="9" fontId="7" fillId="0" borderId="0" xfId="2" applyFont="1" applyAlignment="1"/>
    <xf numFmtId="0" fontId="7" fillId="0" borderId="23" xfId="7" applyBorder="1"/>
    <xf numFmtId="0" fontId="7" fillId="0" borderId="24" xfId="7" applyBorder="1"/>
    <xf numFmtId="0" fontId="7" fillId="0" borderId="0" xfId="7"/>
    <xf numFmtId="165" fontId="13" fillId="5" borderId="29" xfId="7" applyNumberFormat="1" applyFont="1" applyFill="1" applyBorder="1" applyAlignment="1">
      <alignment horizontal="right"/>
    </xf>
    <xf numFmtId="9" fontId="7" fillId="0" borderId="0" xfId="2" applyFont="1"/>
    <xf numFmtId="0" fontId="26" fillId="0" borderId="0" xfId="7" applyFont="1"/>
    <xf numFmtId="0" fontId="27" fillId="0" borderId="0" xfId="7" applyFont="1"/>
    <xf numFmtId="2" fontId="28" fillId="15" borderId="0" xfId="7" applyNumberFormat="1" applyFont="1" applyFill="1" applyProtection="1">
      <protection locked="0"/>
    </xf>
    <xf numFmtId="2" fontId="28" fillId="8" borderId="0" xfId="7" applyNumberFormat="1" applyFont="1" applyFill="1"/>
    <xf numFmtId="44" fontId="27" fillId="9" borderId="0" xfId="7" applyNumberFormat="1" applyFont="1" applyFill="1" applyProtection="1">
      <protection locked="0"/>
    </xf>
    <xf numFmtId="2" fontId="27" fillId="9" borderId="0" xfId="7" applyNumberFormat="1" applyFont="1" applyFill="1"/>
    <xf numFmtId="44" fontId="17" fillId="21" borderId="0" xfId="7" applyNumberFormat="1" applyFont="1" applyFill="1"/>
    <xf numFmtId="0" fontId="17" fillId="16" borderId="7" xfId="7" applyFont="1" applyFill="1" applyBorder="1" applyAlignment="1">
      <alignment horizontal="center" vertical="center"/>
    </xf>
    <xf numFmtId="0" fontId="17" fillId="16" borderId="7" xfId="7" applyFont="1" applyFill="1" applyBorder="1" applyAlignment="1">
      <alignment horizontal="center" vertical="center" wrapText="1"/>
    </xf>
    <xf numFmtId="44" fontId="30" fillId="15" borderId="0" xfId="9" applyFont="1" applyFill="1" applyAlignment="1" applyProtection="1">
      <protection locked="0"/>
    </xf>
    <xf numFmtId="2" fontId="27" fillId="22" borderId="0" xfId="7" applyNumberFormat="1" applyFont="1" applyFill="1" applyProtection="1">
      <protection locked="0"/>
    </xf>
    <xf numFmtId="0" fontId="27" fillId="0" borderId="0" xfId="7" applyFont="1" applyAlignment="1" applyProtection="1">
      <alignment horizontal="center" vertical="center"/>
      <protection locked="0"/>
    </xf>
    <xf numFmtId="0" fontId="27" fillId="0" borderId="0" xfId="7" applyFont="1" applyProtection="1">
      <protection locked="0"/>
    </xf>
    <xf numFmtId="168" fontId="27" fillId="23" borderId="0" xfId="7" applyNumberFormat="1" applyFont="1" applyFill="1" applyProtection="1">
      <protection locked="0"/>
    </xf>
    <xf numFmtId="2" fontId="30" fillId="0" borderId="0" xfId="9" applyNumberFormat="1" applyFont="1" applyFill="1" applyAlignment="1" applyProtection="1"/>
    <xf numFmtId="165" fontId="27" fillId="19" borderId="0" xfId="7" applyNumberFormat="1" applyFont="1" applyFill="1"/>
    <xf numFmtId="0" fontId="7" fillId="0" borderId="0" xfId="7" applyProtection="1">
      <protection locked="0"/>
    </xf>
    <xf numFmtId="0" fontId="0" fillId="0" borderId="0" xfId="0" applyAlignment="1">
      <alignment horizontal="left"/>
    </xf>
    <xf numFmtId="0" fontId="31" fillId="0" borderId="0" xfId="10"/>
    <xf numFmtId="0" fontId="0" fillId="24" borderId="0" xfId="0" applyFill="1"/>
    <xf numFmtId="0" fontId="0" fillId="24" borderId="0" xfId="0" applyFill="1" applyAlignment="1">
      <alignment horizontal="left"/>
    </xf>
    <xf numFmtId="0" fontId="18" fillId="24" borderId="0" xfId="0" applyFont="1" applyFill="1"/>
    <xf numFmtId="0" fontId="32" fillId="0" borderId="0" xfId="0" applyFont="1" applyAlignment="1">
      <alignment vertical="center" wrapText="1"/>
    </xf>
    <xf numFmtId="0" fontId="18" fillId="24" borderId="0" xfId="0" applyFont="1" applyFill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11"/>
    <xf numFmtId="0" fontId="6" fillId="0" borderId="0" xfId="11" applyFont="1"/>
    <xf numFmtId="0" fontId="1" fillId="0" borderId="0" xfId="11" quotePrefix="1" applyAlignment="1">
      <alignment horizontal="center" vertical="center"/>
    </xf>
    <xf numFmtId="0" fontId="0" fillId="0" borderId="0" xfId="11" applyFont="1"/>
    <xf numFmtId="1" fontId="6" fillId="24" borderId="0" xfId="11" applyNumberFormat="1" applyFont="1" applyFill="1"/>
    <xf numFmtId="0" fontId="6" fillId="24" borderId="0" xfId="11" applyFont="1" applyFill="1"/>
    <xf numFmtId="0" fontId="6" fillId="24" borderId="0" xfId="11" quotePrefix="1" applyFont="1" applyFill="1" applyAlignment="1">
      <alignment horizontal="center" vertical="center"/>
    </xf>
    <xf numFmtId="0" fontId="6" fillId="24" borderId="0" xfId="11" applyFont="1" applyFill="1" applyAlignment="1">
      <alignment horizontal="center"/>
    </xf>
    <xf numFmtId="1" fontId="1" fillId="0" borderId="0" xfId="11" applyNumberFormat="1"/>
    <xf numFmtId="0" fontId="0" fillId="0" borderId="0" xfId="11" applyFont="1" applyAlignment="1">
      <alignment horizontal="left" vertical="center"/>
    </xf>
    <xf numFmtId="0" fontId="1" fillId="0" borderId="0" xfId="11" quotePrefix="1" applyAlignment="1">
      <alignment horizontal="left" vertical="center"/>
    </xf>
    <xf numFmtId="0" fontId="1" fillId="0" borderId="0" xfId="11" applyAlignment="1">
      <alignment horizontal="left"/>
    </xf>
    <xf numFmtId="1" fontId="6" fillId="26" borderId="0" xfId="11" applyNumberFormat="1" applyFont="1" applyFill="1"/>
    <xf numFmtId="0" fontId="6" fillId="26" borderId="0" xfId="11" applyFont="1" applyFill="1"/>
    <xf numFmtId="0" fontId="6" fillId="26" borderId="0" xfId="11" quotePrefix="1" applyFont="1" applyFill="1" applyAlignment="1">
      <alignment horizontal="center" vertical="center"/>
    </xf>
    <xf numFmtId="0" fontId="36" fillId="26" borderId="30" xfId="11" applyFont="1" applyFill="1" applyBorder="1" applyAlignment="1">
      <alignment horizontal="center"/>
    </xf>
    <xf numFmtId="0" fontId="1" fillId="0" borderId="31" xfId="11" applyBorder="1"/>
    <xf numFmtId="0" fontId="18" fillId="19" borderId="32" xfId="11" applyFont="1" applyFill="1" applyBorder="1" applyAlignment="1">
      <alignment horizontal="center"/>
    </xf>
    <xf numFmtId="0" fontId="6" fillId="19" borderId="33" xfId="11" applyFont="1" applyFill="1" applyBorder="1"/>
    <xf numFmtId="0" fontId="1" fillId="0" borderId="0" xfId="11" applyAlignment="1">
      <alignment horizontal="left" vertical="center"/>
    </xf>
    <xf numFmtId="16" fontId="1" fillId="0" borderId="0" xfId="11" quotePrefix="1" applyNumberFormat="1" applyAlignment="1">
      <alignment horizontal="center" vertical="center"/>
    </xf>
    <xf numFmtId="0" fontId="1" fillId="0" borderId="31" xfId="11" applyBorder="1" applyAlignment="1">
      <alignment horizontal="center" vertical="center"/>
    </xf>
    <xf numFmtId="0" fontId="1" fillId="0" borderId="0" xfId="11" applyAlignment="1">
      <alignment horizontal="center"/>
    </xf>
    <xf numFmtId="0" fontId="1" fillId="0" borderId="0" xfId="11" quotePrefix="1" applyAlignment="1">
      <alignment vertical="center"/>
    </xf>
    <xf numFmtId="0" fontId="1" fillId="0" borderId="34" xfId="11" applyBorder="1" applyAlignment="1">
      <alignment horizontal="center"/>
    </xf>
    <xf numFmtId="0" fontId="1" fillId="0" borderId="35" xfId="11" applyBorder="1" applyAlignment="1">
      <alignment horizontal="center" vertical="center"/>
    </xf>
    <xf numFmtId="0" fontId="6" fillId="0" borderId="0" xfId="11" applyFont="1" applyAlignment="1">
      <alignment horizontal="left" vertical="center"/>
    </xf>
    <xf numFmtId="169" fontId="1" fillId="0" borderId="0" xfId="11" applyNumberFormat="1" applyAlignment="1">
      <alignment horizontal="right" vertical="top"/>
    </xf>
    <xf numFmtId="1" fontId="1" fillId="0" borderId="0" xfId="11" applyNumberFormat="1" applyAlignment="1">
      <alignment horizontal="right" vertical="center"/>
    </xf>
    <xf numFmtId="1" fontId="1" fillId="0" borderId="0" xfId="11" applyNumberFormat="1" applyAlignment="1">
      <alignment horizontal="right" vertical="top"/>
    </xf>
    <xf numFmtId="0" fontId="18" fillId="27" borderId="0" xfId="11" applyFont="1" applyFill="1" applyAlignment="1">
      <alignment horizontal="left"/>
    </xf>
    <xf numFmtId="0" fontId="1" fillId="0" borderId="0" xfId="11" applyAlignment="1">
      <alignment horizontal="left" vertical="top" wrapText="1"/>
    </xf>
    <xf numFmtId="2" fontId="1" fillId="0" borderId="0" xfId="11" applyNumberFormat="1"/>
    <xf numFmtId="166" fontId="1" fillId="0" borderId="0" xfId="11" applyNumberFormat="1" applyAlignment="1">
      <alignment horizontal="right" vertical="center"/>
    </xf>
    <xf numFmtId="2" fontId="1" fillId="0" borderId="0" xfId="11" applyNumberFormat="1" applyAlignment="1">
      <alignment horizontal="right" vertical="center"/>
    </xf>
    <xf numFmtId="169" fontId="1" fillId="0" borderId="0" xfId="11" applyNumberFormat="1" applyAlignment="1">
      <alignment horizontal="right" vertical="center"/>
    </xf>
    <xf numFmtId="0" fontId="37" fillId="0" borderId="0" xfId="0" applyFont="1" applyAlignment="1">
      <alignment vertical="center"/>
    </xf>
    <xf numFmtId="0" fontId="4" fillId="0" borderId="2" xfId="5" applyAlignment="1">
      <alignment horizontal="center" vertical="center" wrapText="1"/>
    </xf>
    <xf numFmtId="0" fontId="4" fillId="0" borderId="2" xfId="5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9" fillId="18" borderId="1" xfId="4" applyFont="1" applyFill="1" applyAlignment="1">
      <alignment horizontal="center"/>
    </xf>
    <xf numFmtId="0" fontId="39" fillId="18" borderId="1" xfId="4" applyFont="1" applyFill="1" applyAlignment="1">
      <alignment horizontal="left" vertical="center"/>
    </xf>
    <xf numFmtId="0" fontId="39" fillId="18" borderId="1" xfId="4" applyFont="1" applyFill="1" applyAlignment="1"/>
    <xf numFmtId="0" fontId="39" fillId="18" borderId="1" xfId="4" applyFont="1" applyFill="1" applyAlignment="1">
      <alignment horizontal="center" vertical="center"/>
    </xf>
    <xf numFmtId="0" fontId="40" fillId="0" borderId="0" xfId="0" applyFont="1" applyAlignment="1">
      <alignment vertical="center" wrapText="1"/>
    </xf>
    <xf numFmtId="49" fontId="41" fillId="2" borderId="0" xfId="6" applyNumberFormat="1" applyFont="1" applyAlignment="1">
      <alignment horizontal="left" vertical="center"/>
    </xf>
    <xf numFmtId="49" fontId="41" fillId="2" borderId="0" xfId="6" applyNumberFormat="1" applyFont="1" applyAlignment="1">
      <alignment horizontal="center" vertical="center"/>
    </xf>
    <xf numFmtId="0" fontId="40" fillId="0" borderId="0" xfId="0" applyFont="1" applyAlignment="1">
      <alignment vertical="top" wrapText="1"/>
    </xf>
    <xf numFmtId="0" fontId="40" fillId="0" borderId="0" xfId="0" applyFont="1"/>
    <xf numFmtId="49" fontId="41" fillId="2" borderId="0" xfId="6" applyNumberFormat="1" applyFont="1" applyAlignment="1">
      <alignment horizontal="left" vertical="top" wrapText="1"/>
    </xf>
    <xf numFmtId="0" fontId="42" fillId="0" borderId="0" xfId="0" applyFont="1"/>
    <xf numFmtId="0" fontId="3" fillId="18" borderId="1" xfId="4" applyFill="1" applyAlignment="1">
      <alignment horizontal="center"/>
    </xf>
    <xf numFmtId="0" fontId="18" fillId="0" borderId="0" xfId="0" applyFont="1"/>
    <xf numFmtId="49" fontId="5" fillId="2" borderId="0" xfId="6" applyNumberFormat="1" applyAlignment="1">
      <alignment horizontal="center" vertical="center"/>
    </xf>
    <xf numFmtId="0" fontId="3" fillId="0" borderId="7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11" applyFont="1" applyAlignment="1">
      <alignment horizontal="center" vertical="center"/>
    </xf>
    <xf numFmtId="0" fontId="18" fillId="9" borderId="4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 vertical="center"/>
    </xf>
    <xf numFmtId="0" fontId="18" fillId="9" borderId="6" xfId="0" applyFont="1" applyFill="1" applyBorder="1" applyAlignment="1">
      <alignment horizontal="center" vertical="center"/>
    </xf>
    <xf numFmtId="0" fontId="7" fillId="0" borderId="0" xfId="7"/>
    <xf numFmtId="0" fontId="7" fillId="0" borderId="0" xfId="7"/>
    <xf numFmtId="0" fontId="7" fillId="0" borderId="0" xfId="7"/>
    <xf numFmtId="0" fontId="30" fillId="24" borderId="0" xfId="0" applyFont="1" applyFill="1" applyAlignment="1">
      <alignment horizontal="left" vertical="center" wrapText="1"/>
    </xf>
    <xf numFmtId="9" fontId="30" fillId="24" borderId="0" xfId="2" applyFont="1" applyFill="1" applyAlignment="1">
      <alignment horizontal="left" vertical="center"/>
    </xf>
    <xf numFmtId="44" fontId="30" fillId="24" borderId="0" xfId="1" applyFont="1" applyFill="1" applyAlignment="1">
      <alignment horizontal="left" vertical="center"/>
    </xf>
    <xf numFmtId="2" fontId="30" fillId="24" borderId="0" xfId="0" applyNumberFormat="1" applyFont="1" applyFill="1" applyAlignment="1">
      <alignment horizontal="left" vertical="center"/>
    </xf>
    <xf numFmtId="0" fontId="30" fillId="24" borderId="0" xfId="0" applyFont="1" applyFill="1" applyAlignment="1">
      <alignment horizontal="left" vertical="center"/>
    </xf>
    <xf numFmtId="0" fontId="0" fillId="24" borderId="0" xfId="0" applyFont="1" applyFill="1" applyAlignment="1">
      <alignment horizontal="left" vertical="center"/>
    </xf>
    <xf numFmtId="40" fontId="30" fillId="24" borderId="0" xfId="1" applyNumberFormat="1" applyFont="1" applyFill="1" applyAlignment="1">
      <alignment horizontal="left" vertical="center"/>
    </xf>
    <xf numFmtId="171" fontId="12" fillId="11" borderId="0" xfId="7" applyNumberFormat="1" applyFont="1" applyFill="1" applyAlignment="1">
      <alignment horizontal="center"/>
    </xf>
    <xf numFmtId="0" fontId="33" fillId="24" borderId="4" xfId="0" applyFont="1" applyFill="1" applyBorder="1" applyAlignment="1">
      <alignment horizontal="center" vertical="center"/>
    </xf>
    <xf numFmtId="0" fontId="33" fillId="24" borderId="5" xfId="0" applyFont="1" applyFill="1" applyBorder="1" applyAlignment="1">
      <alignment horizontal="center" vertical="center"/>
    </xf>
    <xf numFmtId="0" fontId="33" fillId="24" borderId="6" xfId="0" applyFont="1" applyFill="1" applyBorder="1" applyAlignment="1">
      <alignment horizontal="center" vertical="center"/>
    </xf>
    <xf numFmtId="0" fontId="34" fillId="25" borderId="0" xfId="10" applyFont="1" applyFill="1" applyAlignment="1">
      <alignment horizontal="center" vertical="center"/>
    </xf>
    <xf numFmtId="164" fontId="29" fillId="16" borderId="7" xfId="7" applyNumberFormat="1" applyFont="1" applyFill="1" applyBorder="1" applyAlignment="1">
      <alignment horizontal="center" vertical="center"/>
    </xf>
    <xf numFmtId="0" fontId="29" fillId="16" borderId="7" xfId="7" applyFont="1" applyFill="1" applyBorder="1" applyAlignment="1">
      <alignment horizontal="center" vertical="center"/>
    </xf>
    <xf numFmtId="164" fontId="18" fillId="16" borderId="0" xfId="7" applyNumberFormat="1" applyFont="1" applyFill="1" applyAlignment="1" applyProtection="1">
      <alignment horizontal="left"/>
      <protection locked="0"/>
    </xf>
    <xf numFmtId="0" fontId="20" fillId="3" borderId="17" xfId="7" applyFont="1" applyFill="1" applyBorder="1" applyAlignment="1" applyProtection="1">
      <alignment horizontal="left" vertical="top"/>
      <protection locked="0"/>
    </xf>
    <xf numFmtId="0" fontId="21" fillId="0" borderId="18" xfId="7" applyFont="1" applyBorder="1" applyAlignment="1" applyProtection="1">
      <alignment horizontal="left" vertical="top"/>
      <protection locked="0"/>
    </xf>
    <xf numFmtId="0" fontId="21" fillId="0" borderId="19" xfId="7" applyFont="1" applyBorder="1" applyAlignment="1" applyProtection="1">
      <alignment horizontal="left" vertical="top"/>
      <protection locked="0"/>
    </xf>
    <xf numFmtId="0" fontId="24" fillId="0" borderId="0" xfId="7" applyFont="1"/>
    <xf numFmtId="0" fontId="7" fillId="0" borderId="0" xfId="7"/>
    <xf numFmtId="0" fontId="25" fillId="0" borderId="0" xfId="7" applyFont="1"/>
    <xf numFmtId="164" fontId="13" fillId="20" borderId="25" xfId="7" applyNumberFormat="1" applyFont="1" applyFill="1" applyBorder="1" applyAlignment="1" applyProtection="1">
      <alignment horizontal="left" vertical="top"/>
      <protection locked="0"/>
    </xf>
    <xf numFmtId="164" fontId="13" fillId="20" borderId="26" xfId="7" applyNumberFormat="1" applyFont="1" applyFill="1" applyBorder="1" applyAlignment="1" applyProtection="1">
      <alignment horizontal="left" vertical="top"/>
      <protection locked="0"/>
    </xf>
    <xf numFmtId="164" fontId="13" fillId="20" borderId="27" xfId="7" applyNumberFormat="1" applyFont="1" applyFill="1" applyBorder="1" applyAlignment="1" applyProtection="1">
      <alignment horizontal="left" vertical="top"/>
      <protection locked="0"/>
    </xf>
    <xf numFmtId="164" fontId="20" fillId="3" borderId="14" xfId="7" applyNumberFormat="1" applyFont="1" applyFill="1" applyBorder="1" applyAlignment="1" applyProtection="1">
      <alignment horizontal="left" vertical="top"/>
      <protection locked="0"/>
    </xf>
    <xf numFmtId="0" fontId="21" fillId="0" borderId="15" xfId="7" applyFont="1" applyBorder="1" applyAlignment="1" applyProtection="1">
      <alignment horizontal="left" vertical="top"/>
      <protection locked="0"/>
    </xf>
    <xf numFmtId="0" fontId="21" fillId="0" borderId="16" xfId="7" applyFont="1" applyBorder="1" applyAlignment="1" applyProtection="1">
      <alignment horizontal="left" vertical="top"/>
      <protection locked="0"/>
    </xf>
    <xf numFmtId="164" fontId="8" fillId="0" borderId="0" xfId="7" applyNumberFormat="1" applyFont="1" applyAlignment="1">
      <alignment horizontal="right"/>
    </xf>
    <xf numFmtId="0" fontId="7" fillId="0" borderId="0" xfId="7" applyAlignment="1">
      <alignment horizontal="right"/>
    </xf>
    <xf numFmtId="164" fontId="9" fillId="3" borderId="0" xfId="7" applyNumberFormat="1" applyFont="1" applyFill="1" applyAlignment="1">
      <alignment horizontal="center" vertical="center"/>
    </xf>
    <xf numFmtId="0" fontId="19" fillId="0" borderId="3" xfId="8" applyFont="1" applyBorder="1" applyAlignment="1">
      <alignment horizontal="left" vertical="center"/>
    </xf>
    <xf numFmtId="164" fontId="8" fillId="15" borderId="4" xfId="7" applyNumberFormat="1" applyFont="1" applyFill="1" applyBorder="1" applyAlignment="1">
      <alignment horizontal="center"/>
    </xf>
    <xf numFmtId="164" fontId="8" fillId="15" borderId="5" xfId="7" applyNumberFormat="1" applyFont="1" applyFill="1" applyBorder="1" applyAlignment="1">
      <alignment horizontal="center"/>
    </xf>
    <xf numFmtId="164" fontId="8" fillId="15" borderId="6" xfId="7" applyNumberFormat="1" applyFont="1" applyFill="1" applyBorder="1" applyAlignment="1">
      <alignment horizontal="center"/>
    </xf>
    <xf numFmtId="164" fontId="8" fillId="16" borderId="8" xfId="7" applyNumberFormat="1" applyFont="1" applyFill="1" applyBorder="1" applyAlignment="1">
      <alignment horizontal="center" vertical="center"/>
    </xf>
    <xf numFmtId="164" fontId="8" fillId="16" borderId="9" xfId="7" applyNumberFormat="1" applyFont="1" applyFill="1" applyBorder="1" applyAlignment="1">
      <alignment horizontal="center" vertical="center"/>
    </xf>
    <xf numFmtId="164" fontId="8" fillId="16" borderId="10" xfId="7" applyNumberFormat="1" applyFont="1" applyFill="1" applyBorder="1" applyAlignment="1">
      <alignment horizontal="center" vertical="center"/>
    </xf>
    <xf numFmtId="164" fontId="13" fillId="0" borderId="0" xfId="7" applyNumberFormat="1" applyFont="1" applyAlignment="1">
      <alignment horizontal="right"/>
    </xf>
    <xf numFmtId="0" fontId="25" fillId="0" borderId="0" xfId="7" applyFont="1" applyAlignment="1">
      <alignment horizontal="right"/>
    </xf>
    <xf numFmtId="0" fontId="25" fillId="0" borderId="28" xfId="7" applyFont="1" applyBorder="1" applyAlignment="1">
      <alignment horizontal="right"/>
    </xf>
    <xf numFmtId="0" fontId="22" fillId="9" borderId="4" xfId="7" applyFont="1" applyFill="1" applyBorder="1" applyAlignment="1">
      <alignment horizontal="center" vertical="center"/>
    </xf>
    <xf numFmtId="0" fontId="22" fillId="9" borderId="5" xfId="7" applyFont="1" applyFill="1" applyBorder="1" applyAlignment="1">
      <alignment horizontal="center" vertical="center"/>
    </xf>
    <xf numFmtId="0" fontId="22" fillId="9" borderId="6" xfId="7" applyFont="1" applyFill="1" applyBorder="1" applyAlignment="1">
      <alignment horizontal="center" vertical="center"/>
    </xf>
    <xf numFmtId="0" fontId="35" fillId="19" borderId="0" xfId="11" applyFont="1" applyFill="1" applyAlignment="1">
      <alignment horizontal="center"/>
    </xf>
    <xf numFmtId="0" fontId="18" fillId="27" borderId="0" xfId="11" applyFont="1" applyFill="1" applyAlignment="1">
      <alignment horizontal="left"/>
    </xf>
    <xf numFmtId="0" fontId="1" fillId="0" borderId="0" xfId="11" applyAlignment="1">
      <alignment horizontal="left" vertical="top" wrapText="1"/>
    </xf>
    <xf numFmtId="0" fontId="37" fillId="8" borderId="0" xfId="0" applyFont="1" applyFill="1" applyAlignment="1">
      <alignment horizontal="center" vertical="center"/>
    </xf>
    <xf numFmtId="0" fontId="3" fillId="0" borderId="1" xfId="4" applyAlignment="1">
      <alignment horizontal="center"/>
    </xf>
    <xf numFmtId="0" fontId="38" fillId="18" borderId="0" xfId="3" applyFont="1" applyFill="1" applyAlignment="1">
      <alignment horizontal="center"/>
    </xf>
    <xf numFmtId="49" fontId="43" fillId="2" borderId="0" xfId="6" applyNumberFormat="1" applyFont="1" applyAlignment="1">
      <alignment horizontal="center" vertical="top" wrapText="1"/>
    </xf>
    <xf numFmtId="0" fontId="2" fillId="18" borderId="0" xfId="3" applyFill="1" applyAlignment="1">
      <alignment horizontal="center"/>
    </xf>
    <xf numFmtId="0" fontId="3" fillId="18" borderId="1" xfId="4" applyFill="1" applyAlignment="1">
      <alignment horizontal="center"/>
    </xf>
    <xf numFmtId="0" fontId="3" fillId="0" borderId="7" xfId="4" applyBorder="1" applyAlignment="1">
      <alignment horizontal="center"/>
    </xf>
  </cellXfs>
  <cellStyles count="16">
    <cellStyle name="Currency" xfId="1" builtinId="4"/>
    <cellStyle name="Currency 2" xfId="15" xr:uid="{797C90B1-0858-4777-9CFB-D2867EBF8C9C}"/>
    <cellStyle name="Currency 2 2" xfId="9" xr:uid="{E41B3789-4799-4C44-A80C-142F1175BF14}"/>
    <cellStyle name="Currency 3" xfId="13" xr:uid="{44F0AC35-C461-4E7B-8EC6-93F95FF55343}"/>
    <cellStyle name="Good" xfId="6" builtinId="26"/>
    <cellStyle name="Heading 1" xfId="4" builtinId="16"/>
    <cellStyle name="Heading 2" xfId="5" builtinId="17"/>
    <cellStyle name="Hyperlink" xfId="10" builtinId="8"/>
    <cellStyle name="Normal" xfId="0" builtinId="0"/>
    <cellStyle name="Normal 2" xfId="7" xr:uid="{CF9022D2-976F-4939-A2F3-E5F83C160A4F}"/>
    <cellStyle name="Normal 2 2" xfId="8" xr:uid="{83B1F29D-DB93-4484-9775-F95265828FEB}"/>
    <cellStyle name="Normal 2 3" xfId="12" xr:uid="{3A3242D2-124E-4116-AFBD-8807A4ED1100}"/>
    <cellStyle name="Normal 3" xfId="14" xr:uid="{BD33C47E-3547-4152-B541-383BA065C30E}"/>
    <cellStyle name="Normal 4" xfId="11" xr:uid="{DF73A2D1-322D-47E1-96BF-CF2692B0AD4D}"/>
    <cellStyle name="Percent" xfId="2" builtinId="5"/>
    <cellStyle name="Title" xfId="3" builtinId="15"/>
  </cellStyles>
  <dxfs count="2"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Recipe Costing Metrics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Index!$J$2:$J$8</c:f>
              <c:strCache>
                <c:ptCount val="7"/>
                <c:pt idx="0">
                  <c:v>Total Number of Recipes</c:v>
                </c:pt>
                <c:pt idx="1">
                  <c:v>Average Food Cost %</c:v>
                </c:pt>
                <c:pt idx="2">
                  <c:v>Highest Cost per Portion</c:v>
                </c:pt>
                <c:pt idx="3">
                  <c:v>Lowest Cost per Portion</c:v>
                </c:pt>
                <c:pt idx="4">
                  <c:v>Average Contribution Margin</c:v>
                </c:pt>
                <c:pt idx="5">
                  <c:v>Total Labor Cost</c:v>
                </c:pt>
                <c:pt idx="6">
                  <c:v>Average Prep Time (minutes)</c:v>
                </c:pt>
              </c:strCache>
            </c:strRef>
          </c:cat>
          <c:val>
            <c:numRef>
              <c:f>Index!$K$2:$K$8</c:f>
              <c:numCache>
                <c:formatCode>0%</c:formatCode>
                <c:ptCount val="7"/>
                <c:pt idx="0" formatCode="General">
                  <c:v>46</c:v>
                </c:pt>
                <c:pt idx="1">
                  <c:v>0.3</c:v>
                </c:pt>
                <c:pt idx="2" formatCode="_(&quot;$&quot;* #,##0.00_);_(&quot;$&quot;* \(#,##0.00\);_(&quot;$&quot;* &quot;-&quot;??_);_(@_)">
                  <c:v>15.74</c:v>
                </c:pt>
                <c:pt idx="3" formatCode="_(&quot;$&quot;* #,##0.00_);_(&quot;$&quot;* \(#,##0.00\);_(&quot;$&quot;* &quot;-&quot;??_);_(@_)">
                  <c:v>0</c:v>
                </c:pt>
                <c:pt idx="4" formatCode="_(&quot;$&quot;* #,##0.00_);_(&quot;$&quot;* \(#,##0.00\);_(&quot;$&quot;* &quot;-&quot;??_);_(@_)">
                  <c:v>5.89</c:v>
                </c:pt>
                <c:pt idx="5" formatCode="_(&quot;$&quot;* #,##0.00_);_(&quot;$&quot;* \(#,##0.00\);_(&quot;$&quot;* &quot;-&quot;??_);_(@_)">
                  <c:v>0</c:v>
                </c:pt>
                <c:pt idx="6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A-4588-856F-7A59FB0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1438880"/>
        <c:axId val="991437920"/>
      </c:barChart>
      <c:catAx>
        <c:axId val="991438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1437920"/>
        <c:crosses val="autoZero"/>
        <c:auto val="1"/>
        <c:lblAlgn val="ctr"/>
        <c:lblOffset val="100"/>
        <c:noMultiLvlLbl val="0"/>
      </c:catAx>
      <c:valAx>
        <c:axId val="99143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1438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Financial Metrics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Index!$J$20:$J$24</c:f>
              <c:strCache>
                <c:ptCount val="5"/>
                <c:pt idx="0">
                  <c:v>Average Yield per Recipe</c:v>
                </c:pt>
                <c:pt idx="1">
                  <c:v>Avg Total Recipe Cost</c:v>
                </c:pt>
                <c:pt idx="2">
                  <c:v>Avg Profit per Portion</c:v>
                </c:pt>
                <c:pt idx="3">
                  <c:v>Avg Markup %</c:v>
                </c:pt>
                <c:pt idx="4">
                  <c:v>Avg Labor % of Total Cost</c:v>
                </c:pt>
              </c:strCache>
            </c:strRef>
          </c:cat>
          <c:val>
            <c:numRef>
              <c:f>Index!$K$20:$K$24</c:f>
              <c:numCache>
                <c:formatCode>_("$"* #,##0.00_);_("$"* \(#,##0.00\);_("$"* "-"??_);_(@_)</c:formatCode>
                <c:ptCount val="5"/>
                <c:pt idx="0">
                  <c:v>26.95</c:v>
                </c:pt>
                <c:pt idx="1">
                  <c:v>13.74</c:v>
                </c:pt>
                <c:pt idx="2" formatCode="#,##0.00_);[Red]\(#,##0.00\)">
                  <c:v>-2.44</c:v>
                </c:pt>
                <c:pt idx="3" formatCode="0%">
                  <c:v>-0.93479999999999996</c:v>
                </c:pt>
                <c:pt idx="4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B-4FF4-9788-EBB8D52C9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491087"/>
        <c:axId val="411486287"/>
      </c:barChart>
      <c:catAx>
        <c:axId val="4114910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11486287"/>
        <c:crosses val="autoZero"/>
        <c:auto val="1"/>
        <c:lblAlgn val="ctr"/>
        <c:lblOffset val="100"/>
        <c:noMultiLvlLbl val="0"/>
      </c:catAx>
      <c:valAx>
        <c:axId val="411486287"/>
        <c:scaling>
          <c:orientation val="minMax"/>
        </c:scaling>
        <c:delete val="0"/>
        <c:axPos val="b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114910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dex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dex!C4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ex!C4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dex!C4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dex!C4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dex!C4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380640</xdr:colOff>
      <xdr:row>1</xdr:row>
      <xdr:rowOff>17972</xdr:rowOff>
    </xdr:from>
    <xdr:ext cx="931294" cy="304800"/>
    <xdr:sp macro="[0]!CreateIndexSheet" textlink="">
      <xdr:nvSpPr>
        <xdr:cNvPr id="2" name="Rounded Rectangle 1">
          <a:extLst>
            <a:ext uri="{FF2B5EF4-FFF2-40B4-BE49-F238E27FC236}">
              <a16:creationId xmlns:a16="http://schemas.microsoft.com/office/drawing/2014/main" id="{7B0F9F66-33A6-4C26-A099-867468A257A5}"/>
            </a:ext>
          </a:extLst>
        </xdr:cNvPr>
        <xdr:cNvSpPr/>
      </xdr:nvSpPr>
      <xdr:spPr>
        <a:xfrm>
          <a:off x="4864579" y="611038"/>
          <a:ext cx="931294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</a:t>
          </a:r>
          <a:r>
            <a:rPr lang="en-US" sz="1100"/>
            <a:t>Index</a:t>
          </a:r>
        </a:p>
        <a:p>
          <a:pPr algn="l"/>
          <a:endParaRPr lang="en-US" sz="1100"/>
        </a:p>
      </xdr:txBody>
    </xdr:sp>
    <xdr:clientData fPrintsWithSheet="0"/>
  </xdr:oneCellAnchor>
  <xdr:oneCellAnchor>
    <xdr:from>
      <xdr:col>3</xdr:col>
      <xdr:colOff>188702</xdr:colOff>
      <xdr:row>0</xdr:row>
      <xdr:rowOff>196789</xdr:rowOff>
    </xdr:from>
    <xdr:ext cx="1287313" cy="300127"/>
    <xdr:sp macro="[0]!CreateNewRecipeSheet" textlink="">
      <xdr:nvSpPr>
        <xdr:cNvPr id="3" name="Rounded Rectangle 1">
          <a:extLst>
            <a:ext uri="{FF2B5EF4-FFF2-40B4-BE49-F238E27FC236}">
              <a16:creationId xmlns:a16="http://schemas.microsoft.com/office/drawing/2014/main" id="{F74E5F62-5885-47CC-A2A6-F13D5E0F572C}"/>
            </a:ext>
          </a:extLst>
        </xdr:cNvPr>
        <xdr:cNvSpPr/>
      </xdr:nvSpPr>
      <xdr:spPr>
        <a:xfrm>
          <a:off x="3450565" y="196789"/>
          <a:ext cx="1287313" cy="3001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</a:t>
          </a:r>
          <a:r>
            <a:rPr lang="en-US" sz="1100"/>
            <a:t>New Recipe</a:t>
          </a:r>
        </a:p>
        <a:p>
          <a:pPr algn="l"/>
          <a:endParaRPr lang="en-US" sz="1100"/>
        </a:p>
      </xdr:txBody>
    </xdr:sp>
    <xdr:clientData fPrintsWithSheet="0"/>
  </xdr:oneCellAnchor>
  <xdr:oneCellAnchor>
    <xdr:from>
      <xdr:col>3</xdr:col>
      <xdr:colOff>181695</xdr:colOff>
      <xdr:row>1</xdr:row>
      <xdr:rowOff>45109</xdr:rowOff>
    </xdr:from>
    <xdr:ext cx="1282999" cy="300127"/>
    <xdr:sp macro="[0]!UpdateDashboard" textlink="">
      <xdr:nvSpPr>
        <xdr:cNvPr id="4" name="Rounded Rectangle 1">
          <a:extLst>
            <a:ext uri="{FF2B5EF4-FFF2-40B4-BE49-F238E27FC236}">
              <a16:creationId xmlns:a16="http://schemas.microsoft.com/office/drawing/2014/main" id="{FF80B8F6-BB70-4B3C-9751-46F04D0A7E6E}"/>
            </a:ext>
          </a:extLst>
        </xdr:cNvPr>
        <xdr:cNvSpPr/>
      </xdr:nvSpPr>
      <xdr:spPr>
        <a:xfrm>
          <a:off x="3443558" y="638175"/>
          <a:ext cx="1282999" cy="3001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Dashboard</a:t>
          </a:r>
        </a:p>
        <a:p>
          <a:pPr algn="l"/>
          <a:endParaRPr lang="en-US" sz="1100"/>
        </a:p>
      </xdr:txBody>
    </xdr:sp>
    <xdr:clientData fPrintsWithSheet="0"/>
  </xdr:oneCellAnchor>
  <xdr:twoCellAnchor>
    <xdr:from>
      <xdr:col>13</xdr:col>
      <xdr:colOff>0</xdr:colOff>
      <xdr:row>2</xdr:row>
      <xdr:rowOff>0</xdr:rowOff>
    </xdr:from>
    <xdr:to>
      <xdr:col>21</xdr:col>
      <xdr:colOff>203200</xdr:colOff>
      <xdr:row>18</xdr:row>
      <xdr:rowOff>60325</xdr:rowOff>
    </xdr:to>
    <xdr:graphicFrame macro="">
      <xdr:nvGraphicFramePr>
        <xdr:cNvPr id="5" name="DashboardChart">
          <a:extLst>
            <a:ext uri="{FF2B5EF4-FFF2-40B4-BE49-F238E27FC236}">
              <a16:creationId xmlns:a16="http://schemas.microsoft.com/office/drawing/2014/main" id="{9024008E-971F-4D32-8AE2-BB417D75E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377405</xdr:colOff>
      <xdr:row>0</xdr:row>
      <xdr:rowOff>197689</xdr:rowOff>
    </xdr:from>
    <xdr:ext cx="943514" cy="304800"/>
    <xdr:sp macro="[0]!DeleteSheetsBetweenIndexAndTemplate" textlink="">
      <xdr:nvSpPr>
        <xdr:cNvPr id="6" name="Rounded Rectangle 1">
          <a:extLst>
            <a:ext uri="{FF2B5EF4-FFF2-40B4-BE49-F238E27FC236}">
              <a16:creationId xmlns:a16="http://schemas.microsoft.com/office/drawing/2014/main" id="{83014C11-5DDC-47CA-B20D-C1A833EC8D7D}"/>
            </a:ext>
          </a:extLst>
        </xdr:cNvPr>
        <xdr:cNvSpPr/>
      </xdr:nvSpPr>
      <xdr:spPr>
        <a:xfrm>
          <a:off x="4861344" y="197689"/>
          <a:ext cx="943514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Tabs</a:t>
          </a:r>
          <a:endParaRPr lang="en-US" sz="1100"/>
        </a:p>
        <a:p>
          <a:pPr algn="l"/>
          <a:endParaRPr lang="en-US" sz="1100"/>
        </a:p>
      </xdr:txBody>
    </xdr:sp>
    <xdr:clientData fPrintsWithSheet="0"/>
  </xdr:oneCellAnchor>
  <xdr:twoCellAnchor>
    <xdr:from>
      <xdr:col>13</xdr:col>
      <xdr:colOff>0</xdr:colOff>
      <xdr:row>19</xdr:row>
      <xdr:rowOff>0</xdr:rowOff>
    </xdr:from>
    <xdr:to>
      <xdr:col>21</xdr:col>
      <xdr:colOff>203200</xdr:colOff>
      <xdr:row>32</xdr:row>
      <xdr:rowOff>15875</xdr:rowOff>
    </xdr:to>
    <xdr:graphicFrame macro="">
      <xdr:nvGraphicFramePr>
        <xdr:cNvPr id="14" name="FinancialChart">
          <a:extLst>
            <a:ext uri="{FF2B5EF4-FFF2-40B4-BE49-F238E27FC236}">
              <a16:creationId xmlns:a16="http://schemas.microsoft.com/office/drawing/2014/main" id="{6183E5F6-D09F-DCD0-993A-202FCA583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262137</xdr:colOff>
      <xdr:row>9</xdr:row>
      <xdr:rowOff>180974</xdr:rowOff>
    </xdr:from>
    <xdr:to>
      <xdr:col>12</xdr:col>
      <xdr:colOff>334908</xdr:colOff>
      <xdr:row>15</xdr:row>
      <xdr:rowOff>180974</xdr:rowOff>
    </xdr:to>
    <xdr:pic>
      <xdr:nvPicPr>
        <xdr:cNvPr id="2" name="Picture1" descr="Table setting with solid fill">
          <a:extLst>
            <a:ext uri="{FF2B5EF4-FFF2-40B4-BE49-F238E27FC236}">
              <a16:creationId xmlns:a16="http://schemas.microsoft.com/office/drawing/2014/main" id="{D3508664-9E07-4A6F-93F4-5E7B772FB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9139437" y="2105024"/>
          <a:ext cx="1453896" cy="119062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18</xdr:row>
      <xdr:rowOff>76201</xdr:rowOff>
    </xdr:from>
    <xdr:to>
      <xdr:col>12</xdr:col>
      <xdr:colOff>190500</xdr:colOff>
      <xdr:row>19</xdr:row>
      <xdr:rowOff>123826</xdr:rowOff>
    </xdr:to>
    <xdr:sp macro="[0]!ImportRecipeImage" textlink="">
      <xdr:nvSpPr>
        <xdr:cNvPr id="3" name="ButtonAddImage">
          <a:extLst>
            <a:ext uri="{FF2B5EF4-FFF2-40B4-BE49-F238E27FC236}">
              <a16:creationId xmlns:a16="http://schemas.microsoft.com/office/drawing/2014/main" id="{3D7E71F5-D23F-4764-B27E-07AE729B2466}"/>
            </a:ext>
          </a:extLst>
        </xdr:cNvPr>
        <xdr:cNvSpPr/>
      </xdr:nvSpPr>
      <xdr:spPr>
        <a:xfrm>
          <a:off x="9296400" y="3800476"/>
          <a:ext cx="1152525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Add Image</a:t>
          </a:r>
        </a:p>
      </xdr:txBody>
    </xdr:sp>
    <xdr:clientData/>
  </xdr:twoCellAnchor>
  <xdr:twoCellAnchor>
    <xdr:from>
      <xdr:col>11</xdr:col>
      <xdr:colOff>76200</xdr:colOff>
      <xdr:row>39</xdr:row>
      <xdr:rowOff>114301</xdr:rowOff>
    </xdr:from>
    <xdr:to>
      <xdr:col>12</xdr:col>
      <xdr:colOff>190500</xdr:colOff>
      <xdr:row>40</xdr:row>
      <xdr:rowOff>142876</xdr:rowOff>
    </xdr:to>
    <xdr:sp macro="[0]!RecalculateCostingSheet" textlink="">
      <xdr:nvSpPr>
        <xdr:cNvPr id="4" name="ButtonAdd">
          <a:extLst>
            <a:ext uri="{FF2B5EF4-FFF2-40B4-BE49-F238E27FC236}">
              <a16:creationId xmlns:a16="http://schemas.microsoft.com/office/drawing/2014/main" id="{9242165F-E730-45A0-A0A8-CECBF38EE3A0}"/>
            </a:ext>
          </a:extLst>
        </xdr:cNvPr>
        <xdr:cNvSpPr/>
      </xdr:nvSpPr>
      <xdr:spPr>
        <a:xfrm>
          <a:off x="9296400" y="7924801"/>
          <a:ext cx="1152525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Recalculate</a:t>
          </a:r>
        </a:p>
      </xdr:txBody>
    </xdr:sp>
    <xdr:clientData/>
  </xdr:twoCellAnchor>
  <xdr:twoCellAnchor>
    <xdr:from>
      <xdr:col>11</xdr:col>
      <xdr:colOff>0</xdr:colOff>
      <xdr:row>2</xdr:row>
      <xdr:rowOff>1</xdr:rowOff>
    </xdr:from>
    <xdr:to>
      <xdr:col>12</xdr:col>
      <xdr:colOff>66675</xdr:colOff>
      <xdr:row>3</xdr:row>
      <xdr:rowOff>66676</xdr:rowOff>
    </xdr:to>
    <xdr:sp macro="" textlink="">
      <xdr:nvSpPr>
        <xdr:cNvPr id="6" name="ReturnToIndex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DB10D1-2717-4075-B71E-93EA66A461C2}"/>
            </a:ext>
          </a:extLst>
        </xdr:cNvPr>
        <xdr:cNvSpPr/>
      </xdr:nvSpPr>
      <xdr:spPr>
        <a:xfrm>
          <a:off x="9220200" y="495301"/>
          <a:ext cx="1104900" cy="266700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Return to Index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76200</xdr:colOff>
      <xdr:row>30</xdr:row>
      <xdr:rowOff>104776</xdr:rowOff>
    </xdr:from>
    <xdr:to>
      <xdr:col>12</xdr:col>
      <xdr:colOff>190500</xdr:colOff>
      <xdr:row>31</xdr:row>
      <xdr:rowOff>123825</xdr:rowOff>
    </xdr:to>
    <xdr:sp macro="[0]!AddIngredientRow" textlink="">
      <xdr:nvSpPr>
        <xdr:cNvPr id="5" name="ButtonAddRow">
          <a:extLst>
            <a:ext uri="{FF2B5EF4-FFF2-40B4-BE49-F238E27FC236}">
              <a16:creationId xmlns:a16="http://schemas.microsoft.com/office/drawing/2014/main" id="{E9FBD97F-7B4D-262F-E471-E409D767A50B}"/>
            </a:ext>
          </a:extLst>
        </xdr:cNvPr>
        <xdr:cNvSpPr/>
      </xdr:nvSpPr>
      <xdr:spPr>
        <a:xfrm>
          <a:off x="9296400" y="6153151"/>
          <a:ext cx="1152525" cy="2095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Add Row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495300</xdr:colOff>
      <xdr:row>2</xdr:row>
      <xdr:rowOff>76200</xdr:rowOff>
    </xdr:to>
    <xdr:sp macro="" textlink="">
      <xdr:nvSpPr>
        <xdr:cNvPr id="2" name="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DBE6DC-F57C-4B59-A343-5FBCA608409F}"/>
            </a:ext>
          </a:extLst>
        </xdr:cNvPr>
        <xdr:cNvSpPr/>
      </xdr:nvSpPr>
      <xdr:spPr>
        <a:xfrm>
          <a:off x="12954000" y="200025"/>
          <a:ext cx="1104900" cy="266700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Return to Index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0</xdr:rowOff>
    </xdr:from>
    <xdr:to>
      <xdr:col>4</xdr:col>
      <xdr:colOff>316482</xdr:colOff>
      <xdr:row>12</xdr:row>
      <xdr:rowOff>69551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3D6A00-29BF-4062-927B-A7AB293CDF36}"/>
            </a:ext>
          </a:extLst>
        </xdr:cNvPr>
        <xdr:cNvSpPr/>
      </xdr:nvSpPr>
      <xdr:spPr>
        <a:xfrm>
          <a:off x="1905000" y="2428875"/>
          <a:ext cx="1307082" cy="260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 to Index</a:t>
          </a:r>
        </a:p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400050</xdr:colOff>
      <xdr:row>0</xdr:row>
      <xdr:rowOff>85725</xdr:rowOff>
    </xdr:from>
    <xdr:to>
      <xdr:col>10</xdr:col>
      <xdr:colOff>400050</xdr:colOff>
      <xdr:row>1</xdr:row>
      <xdr:rowOff>28575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F8044A-71D8-495B-A887-4D3F723AD0FA}"/>
            </a:ext>
          </a:extLst>
        </xdr:cNvPr>
        <xdr:cNvSpPr/>
      </xdr:nvSpPr>
      <xdr:spPr>
        <a:xfrm>
          <a:off x="5895975" y="85725"/>
          <a:ext cx="12192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 to Index</a:t>
          </a:r>
        </a:p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2</xdr:row>
      <xdr:rowOff>9525</xdr:rowOff>
    </xdr:from>
    <xdr:to>
      <xdr:col>9</xdr:col>
      <xdr:colOff>247650</xdr:colOff>
      <xdr:row>3</xdr:row>
      <xdr:rowOff>28575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363C8-4042-42A2-A9D4-C10DEE870A3F}"/>
            </a:ext>
          </a:extLst>
        </xdr:cNvPr>
        <xdr:cNvSpPr/>
      </xdr:nvSpPr>
      <xdr:spPr>
        <a:xfrm>
          <a:off x="12039600" y="495300"/>
          <a:ext cx="12192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 to Index</a:t>
          </a:r>
        </a:p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619125</xdr:colOff>
      <xdr:row>0</xdr:row>
      <xdr:rowOff>276225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40715E-1366-4F86-A1FE-D92F89BC6F90}"/>
            </a:ext>
          </a:extLst>
        </xdr:cNvPr>
        <xdr:cNvSpPr/>
      </xdr:nvSpPr>
      <xdr:spPr>
        <a:xfrm>
          <a:off x="6267450" y="0"/>
          <a:ext cx="12192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 to Index</a:t>
          </a:r>
        </a:p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228600</xdr:rowOff>
    </xdr:from>
    <xdr:to>
      <xdr:col>11</xdr:col>
      <xdr:colOff>0</xdr:colOff>
      <xdr:row>1</xdr:row>
      <xdr:rowOff>171450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BC180-D18C-40B0-8BDB-EFCAAF9DE5E6}"/>
            </a:ext>
          </a:extLst>
        </xdr:cNvPr>
        <xdr:cNvSpPr/>
      </xdr:nvSpPr>
      <xdr:spPr>
        <a:xfrm>
          <a:off x="7677150" y="228600"/>
          <a:ext cx="12192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 to Index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03C1-82DC-4E76-9DCC-565E13CCE690}">
  <sheetPr codeName="Sheet1"/>
  <dimension ref="A1:V136"/>
  <sheetViews>
    <sheetView showGridLines="0" zoomScale="106" zoomScaleNormal="106" workbookViewId="0">
      <selection sqref="A1:C1"/>
    </sheetView>
  </sheetViews>
  <sheetFormatPr defaultRowHeight="15"/>
  <cols>
    <col min="1" max="1" width="30.5703125" bestFit="1" customWidth="1"/>
    <col min="7" max="9" width="6" customWidth="1"/>
    <col min="10" max="10" width="34" bestFit="1" customWidth="1"/>
    <col min="11" max="11" width="10.5703125" style="86" bestFit="1" customWidth="1"/>
  </cols>
  <sheetData>
    <row r="1" spans="1:22" ht="46.5">
      <c r="A1" s="171" t="s">
        <v>157</v>
      </c>
      <c r="B1" s="171"/>
      <c r="C1" s="171"/>
      <c r="J1" s="168" t="s">
        <v>156</v>
      </c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70"/>
    </row>
    <row r="2" spans="1:22" ht="15.75">
      <c r="A2" s="87" t="s">
        <v>148</v>
      </c>
      <c r="I2" s="93"/>
      <c r="J2" s="92" t="s">
        <v>155</v>
      </c>
      <c r="K2" s="160">
        <v>46</v>
      </c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</row>
    <row r="3" spans="1:22" ht="15.75">
      <c r="A3" s="87" t="s">
        <v>143</v>
      </c>
      <c r="I3" s="91"/>
      <c r="J3" s="92" t="s">
        <v>154</v>
      </c>
      <c r="K3" s="161">
        <v>0.3</v>
      </c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</row>
    <row r="4" spans="1:22" ht="15.75">
      <c r="A4" s="87" t="s">
        <v>147</v>
      </c>
      <c r="I4" s="91"/>
      <c r="J4" s="92" t="s">
        <v>153</v>
      </c>
      <c r="K4" s="162">
        <v>15.74</v>
      </c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</row>
    <row r="5" spans="1:22" ht="15.75">
      <c r="A5" s="87" t="s">
        <v>146</v>
      </c>
      <c r="I5" s="91"/>
      <c r="J5" s="92" t="s">
        <v>152</v>
      </c>
      <c r="K5" s="162">
        <v>0</v>
      </c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</row>
    <row r="6" spans="1:22" ht="15.75">
      <c r="A6" s="87" t="s">
        <v>144</v>
      </c>
      <c r="I6" s="91"/>
      <c r="J6" s="92" t="s">
        <v>151</v>
      </c>
      <c r="K6" s="162">
        <v>5.89</v>
      </c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</row>
    <row r="7" spans="1:22" ht="15.75">
      <c r="A7" s="87" t="s">
        <v>145</v>
      </c>
      <c r="I7" s="91"/>
      <c r="J7" s="92" t="s">
        <v>150</v>
      </c>
      <c r="K7" s="162">
        <v>0</v>
      </c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</row>
    <row r="8" spans="1:22" ht="15.75">
      <c r="I8" s="91"/>
      <c r="J8" s="92" t="s">
        <v>149</v>
      </c>
      <c r="K8" s="163">
        <v>0</v>
      </c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</row>
    <row r="9" spans="1:22" ht="15.75">
      <c r="I9" s="91"/>
      <c r="J9" s="92"/>
      <c r="K9" s="164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</row>
    <row r="10" spans="1:22">
      <c r="I10" s="91"/>
      <c r="J10" s="88"/>
      <c r="K10" s="165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</row>
    <row r="11" spans="1:22">
      <c r="J11" s="88"/>
      <c r="K11" s="165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</row>
    <row r="12" spans="1:22">
      <c r="J12" s="88"/>
      <c r="K12" s="165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</row>
    <row r="13" spans="1:22">
      <c r="J13" s="88"/>
      <c r="K13" s="165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</row>
    <row r="14" spans="1:22">
      <c r="J14" s="88"/>
      <c r="K14" s="165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</row>
    <row r="15" spans="1:22">
      <c r="J15" s="88"/>
      <c r="K15" s="165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</row>
    <row r="16" spans="1:22">
      <c r="J16" s="88"/>
      <c r="K16" s="165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</row>
    <row r="17" spans="10:22">
      <c r="J17" s="88"/>
      <c r="K17" s="165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</row>
    <row r="18" spans="10:22">
      <c r="J18" s="88"/>
      <c r="K18" s="165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</row>
    <row r="19" spans="10:22">
      <c r="J19" s="88"/>
      <c r="K19" s="165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</row>
    <row r="20" spans="10:22" ht="15.75">
      <c r="J20" s="90" t="s">
        <v>496</v>
      </c>
      <c r="K20" s="162">
        <v>26.95</v>
      </c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</row>
    <row r="21" spans="10:22" ht="15.75">
      <c r="J21" s="90" t="s">
        <v>497</v>
      </c>
      <c r="K21" s="162">
        <v>13.74</v>
      </c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</row>
    <row r="22" spans="10:22" ht="15.75">
      <c r="J22" s="90" t="s">
        <v>498</v>
      </c>
      <c r="K22" s="166">
        <v>-2.44</v>
      </c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</row>
    <row r="23" spans="10:22" ht="15.75">
      <c r="J23" s="90" t="s">
        <v>499</v>
      </c>
      <c r="K23" s="161">
        <v>-0.93479999999999996</v>
      </c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</row>
    <row r="24" spans="10:22" ht="15.75">
      <c r="J24" s="90" t="s">
        <v>500</v>
      </c>
      <c r="K24" s="161">
        <v>0</v>
      </c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</row>
    <row r="25" spans="10:22">
      <c r="J25" s="88"/>
      <c r="K25" s="89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</row>
    <row r="26" spans="10:22">
      <c r="J26" s="88"/>
      <c r="K26" s="89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</row>
    <row r="27" spans="10:22">
      <c r="J27" s="88"/>
      <c r="K27" s="89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</row>
    <row r="28" spans="10:22">
      <c r="J28" s="88"/>
      <c r="K28" s="89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</row>
    <row r="29" spans="10:22">
      <c r="J29" s="88"/>
      <c r="K29" s="89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</row>
    <row r="30" spans="10:22">
      <c r="J30" s="88"/>
      <c r="K30" s="89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</row>
    <row r="31" spans="10:22">
      <c r="J31" s="88"/>
      <c r="K31" s="89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</row>
    <row r="32" spans="10:22">
      <c r="J32" s="88"/>
      <c r="K32" s="89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</row>
    <row r="33" spans="10:22">
      <c r="J33" s="88"/>
      <c r="K33" s="89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</row>
    <row r="34" spans="10:22">
      <c r="J34" s="88"/>
      <c r="K34" s="89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</row>
    <row r="35" spans="10:22">
      <c r="J35" s="88"/>
      <c r="K35" s="89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</row>
    <row r="36" spans="10:22">
      <c r="J36" s="88"/>
      <c r="K36" s="89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</row>
    <row r="37" spans="10:22">
      <c r="J37" s="88"/>
      <c r="K37" s="89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</row>
    <row r="38" spans="10:22">
      <c r="J38" s="88"/>
      <c r="K38" s="89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</row>
    <row r="39" spans="10:22">
      <c r="J39" s="88"/>
      <c r="K39" s="89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</row>
    <row r="40" spans="10:22">
      <c r="J40" s="88"/>
      <c r="K40" s="89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</row>
    <row r="41" spans="10:22">
      <c r="J41" s="88"/>
      <c r="K41" s="89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</row>
    <row r="54" spans="1:1">
      <c r="A54" s="87"/>
    </row>
    <row r="55" spans="1:1">
      <c r="A55" s="87"/>
    </row>
    <row r="56" spans="1:1">
      <c r="A56" s="87"/>
    </row>
    <row r="57" spans="1:1">
      <c r="A57" s="87"/>
    </row>
    <row r="58" spans="1:1">
      <c r="A58" s="87"/>
    </row>
    <row r="59" spans="1:1">
      <c r="A59" s="87"/>
    </row>
    <row r="60" spans="1:1">
      <c r="A60" s="87"/>
    </row>
    <row r="61" spans="1:1">
      <c r="A61" s="87"/>
    </row>
    <row r="62" spans="1:1">
      <c r="A62" s="87"/>
    </row>
    <row r="63" spans="1:1">
      <c r="A63" s="87"/>
    </row>
    <row r="64" spans="1:1">
      <c r="A64" s="87"/>
    </row>
    <row r="65" spans="1:1">
      <c r="A65" s="87"/>
    </row>
    <row r="66" spans="1:1">
      <c r="A66" s="87"/>
    </row>
    <row r="67" spans="1:1">
      <c r="A67" s="87"/>
    </row>
    <row r="68" spans="1:1">
      <c r="A68" s="87"/>
    </row>
    <row r="69" spans="1:1">
      <c r="A69" s="87"/>
    </row>
    <row r="70" spans="1:1">
      <c r="A70" s="87"/>
    </row>
    <row r="71" spans="1:1">
      <c r="A71" s="87"/>
    </row>
    <row r="72" spans="1:1">
      <c r="A72" s="87"/>
    </row>
    <row r="73" spans="1:1">
      <c r="A73" s="87"/>
    </row>
    <row r="74" spans="1:1">
      <c r="A74" s="87"/>
    </row>
    <row r="75" spans="1:1">
      <c r="A75" s="87"/>
    </row>
    <row r="76" spans="1:1">
      <c r="A76" s="87"/>
    </row>
    <row r="77" spans="1:1">
      <c r="A77" s="87"/>
    </row>
    <row r="78" spans="1:1">
      <c r="A78" s="87"/>
    </row>
    <row r="79" spans="1:1">
      <c r="A79" s="87"/>
    </row>
    <row r="80" spans="1:1">
      <c r="A80" s="87"/>
    </row>
    <row r="81" spans="1:1">
      <c r="A81" s="87"/>
    </row>
    <row r="82" spans="1:1">
      <c r="A82" s="87"/>
    </row>
    <row r="83" spans="1:1">
      <c r="A83" s="87"/>
    </row>
    <row r="84" spans="1:1">
      <c r="A84" s="87"/>
    </row>
    <row r="85" spans="1:1">
      <c r="A85" s="87"/>
    </row>
    <row r="86" spans="1:1">
      <c r="A86" s="87"/>
    </row>
    <row r="87" spans="1:1">
      <c r="A87" s="87"/>
    </row>
    <row r="88" spans="1:1">
      <c r="A88" s="87"/>
    </row>
    <row r="89" spans="1:1">
      <c r="A89" s="87"/>
    </row>
    <row r="90" spans="1:1">
      <c r="A90" s="87"/>
    </row>
    <row r="91" spans="1:1">
      <c r="A91" s="87"/>
    </row>
    <row r="92" spans="1:1">
      <c r="A92" s="87"/>
    </row>
    <row r="93" spans="1:1">
      <c r="A93" s="87"/>
    </row>
    <row r="94" spans="1:1">
      <c r="A94" s="87"/>
    </row>
    <row r="95" spans="1:1">
      <c r="A95" s="87"/>
    </row>
    <row r="96" spans="1:1">
      <c r="A96" s="87"/>
    </row>
    <row r="97" spans="1:1">
      <c r="A97" s="87"/>
    </row>
    <row r="98" spans="1:1">
      <c r="A98" s="87"/>
    </row>
    <row r="99" spans="1:1">
      <c r="A99" s="87"/>
    </row>
    <row r="100" spans="1:1">
      <c r="A100" s="87"/>
    </row>
    <row r="101" spans="1:1">
      <c r="A101" s="87"/>
    </row>
    <row r="102" spans="1:1">
      <c r="A102" s="87"/>
    </row>
    <row r="103" spans="1:1">
      <c r="A103" s="87"/>
    </row>
    <row r="104" spans="1:1">
      <c r="A104" s="87"/>
    </row>
    <row r="105" spans="1:1">
      <c r="A105" s="87"/>
    </row>
    <row r="106" spans="1:1">
      <c r="A106" s="87"/>
    </row>
    <row r="107" spans="1:1">
      <c r="A107" s="87"/>
    </row>
    <row r="108" spans="1:1">
      <c r="A108" s="87"/>
    </row>
    <row r="109" spans="1:1">
      <c r="A109" s="87"/>
    </row>
    <row r="110" spans="1:1">
      <c r="A110" s="87"/>
    </row>
    <row r="111" spans="1:1">
      <c r="A111" s="87"/>
    </row>
    <row r="112" spans="1:1">
      <c r="A112" s="87"/>
    </row>
    <row r="113" spans="1:1">
      <c r="A113" s="87"/>
    </row>
    <row r="114" spans="1:1">
      <c r="A114" s="87"/>
    </row>
    <row r="115" spans="1:1">
      <c r="A115" s="87"/>
    </row>
    <row r="116" spans="1:1">
      <c r="A116" s="87"/>
    </row>
    <row r="117" spans="1:1">
      <c r="A117" s="87"/>
    </row>
    <row r="118" spans="1:1">
      <c r="A118" s="87"/>
    </row>
    <row r="119" spans="1:1">
      <c r="A119" s="87"/>
    </row>
    <row r="120" spans="1:1">
      <c r="A120" s="87"/>
    </row>
    <row r="121" spans="1:1">
      <c r="A121" s="87"/>
    </row>
    <row r="122" spans="1:1">
      <c r="A122" s="87"/>
    </row>
    <row r="123" spans="1:1">
      <c r="A123" s="87"/>
    </row>
    <row r="124" spans="1:1">
      <c r="A124" s="87"/>
    </row>
    <row r="125" spans="1:1">
      <c r="A125" s="87"/>
    </row>
    <row r="126" spans="1:1">
      <c r="A126" s="87"/>
    </row>
    <row r="127" spans="1:1">
      <c r="A127" s="87"/>
    </row>
    <row r="128" spans="1:1">
      <c r="A128" s="87"/>
    </row>
    <row r="129" spans="1:1">
      <c r="A129" s="87"/>
    </row>
    <row r="130" spans="1:1">
      <c r="A130" s="87"/>
    </row>
    <row r="131" spans="1:1">
      <c r="A131" s="87"/>
    </row>
    <row r="132" spans="1:1">
      <c r="A132" s="87"/>
    </row>
    <row r="133" spans="1:1">
      <c r="A133" s="87"/>
    </row>
    <row r="134" spans="1:1">
      <c r="A134" s="87"/>
    </row>
    <row r="135" spans="1:1">
      <c r="A135" s="87"/>
    </row>
    <row r="136" spans="1:1">
      <c r="A136" s="87"/>
    </row>
  </sheetData>
  <sortState xmlns:xlrd2="http://schemas.microsoft.com/office/spreadsheetml/2017/richdata2" ref="A2:A12">
    <sortCondition ref="A2"/>
  </sortState>
  <mergeCells count="2">
    <mergeCell ref="J1:V1"/>
    <mergeCell ref="A1:C1"/>
  </mergeCells>
  <hyperlinks>
    <hyperlink ref="A2" location="'Costing Template'!A1" display="Costing Template" xr:uid="{3B1364BB-354F-4B1C-913D-AF32864E4C00}"/>
    <hyperlink ref="A3" location="'Food Storage Temperatures'!A1" display="Food Storage Temperatures" xr:uid="{7B1467C9-9EA8-4AAA-B054-A8303F7DC587}"/>
    <hyperlink ref="A4" location="'Images'!A1" display="Images" xr:uid="{AC3BE944-16C2-4174-BD73-F25C01EA6B95}"/>
    <hyperlink ref="A5" location="'Kitchen Conversions'!A1" display="Kitchen Conversions" xr:uid="{B81CE955-1203-414B-AD22-DAB61A3FC89A}"/>
    <hyperlink ref="A6" location="'Minimum Internal Temperatures'!A1" display="Minimum Internal Temperatures" xr:uid="{B4F3B02F-CEDC-4164-987C-EC383E0FEEF1}"/>
    <hyperlink ref="A7" location="'Scoop Size'!A1" display="Scoop Size" xr:uid="{D13545A3-00F2-4817-B46C-D4A1EEF12D7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3696F-FEC2-4E3E-B1B8-77FAE4A7CE24}">
  <sheetPr codeName="Sheet5">
    <outlinePr summaryBelow="0" summaryRight="0"/>
  </sheetPr>
  <dimension ref="A1:AJ124"/>
  <sheetViews>
    <sheetView showGridLines="0" tabSelected="1" zoomScaleNormal="100" workbookViewId="0">
      <selection activeCell="H16" sqref="H16"/>
    </sheetView>
  </sheetViews>
  <sheetFormatPr defaultColWidth="14.28515625" defaultRowHeight="15.75" customHeight="1"/>
  <cols>
    <col min="1" max="1" width="17.85546875" style="1" customWidth="1"/>
    <col min="2" max="2" width="14.28515625" style="1" customWidth="1"/>
    <col min="3" max="3" width="14.28515625" style="1"/>
    <col min="4" max="4" width="12.5703125" style="1" customWidth="1"/>
    <col min="5" max="5" width="13.5703125" style="1" customWidth="1"/>
    <col min="6" max="6" width="13" style="1" customWidth="1"/>
    <col min="7" max="7" width="12.5703125" style="1" customWidth="1"/>
    <col min="8" max="8" width="16.85546875" style="1" customWidth="1"/>
    <col min="9" max="9" width="9.28515625" style="1" customWidth="1"/>
    <col min="10" max="10" width="8.85546875" style="1" bestFit="1" customWidth="1"/>
    <col min="11" max="11" width="5.140625" style="1" bestFit="1" customWidth="1"/>
    <col min="12" max="12" width="15.5703125" style="1" customWidth="1"/>
    <col min="13" max="13" width="14.28515625" style="1"/>
    <col min="14" max="14" width="5.85546875" style="1" customWidth="1"/>
    <col min="15" max="15" width="4.7109375" style="1" customWidth="1"/>
    <col min="16" max="16" width="27" style="1" bestFit="1" customWidth="1"/>
    <col min="17" max="17" width="2.7109375" style="1" customWidth="1"/>
    <col min="18" max="18" width="5.5703125" style="1" customWidth="1"/>
    <col min="19" max="19" width="1.7109375" customWidth="1"/>
    <col min="20" max="20" width="19.42578125" style="1" customWidth="1"/>
    <col min="21" max="21" width="1.140625" style="1" customWidth="1"/>
    <col min="22" max="22" width="5.5703125" style="1" customWidth="1"/>
    <col min="23" max="23" width="3" customWidth="1"/>
    <col min="24" max="24" width="18.7109375" style="1" bestFit="1" customWidth="1"/>
    <col min="25" max="25" width="42.5703125" style="1" customWidth="1"/>
    <col min="26" max="26" width="7.140625" style="1" bestFit="1" customWidth="1"/>
    <col min="27" max="27" width="7.42578125" style="1" bestFit="1" customWidth="1"/>
    <col min="28" max="28" width="70.85546875" style="1" customWidth="1"/>
    <col min="29" max="32" width="14.28515625" style="1"/>
    <col min="33" max="33" width="12.7109375" style="1" bestFit="1" customWidth="1"/>
    <col min="34" max="34" width="18.140625" style="1" bestFit="1" customWidth="1"/>
    <col min="35" max="35" width="12" style="1" bestFit="1" customWidth="1"/>
    <col min="36" max="36" width="8.42578125" style="1" bestFit="1" customWidth="1"/>
    <col min="37" max="16384" width="14.28515625" style="1"/>
  </cols>
  <sheetData>
    <row r="1" spans="1:33" ht="24" customHeight="1">
      <c r="A1" s="187" t="s">
        <v>0</v>
      </c>
      <c r="B1" s="188"/>
      <c r="C1" s="189" t="str">
        <f ca="1">RIGHT(CELL("filename",D2),LEN(CELL("filename",D2))-FIND("]",CELL("filename",D2)))</f>
        <v>Costing Template</v>
      </c>
      <c r="D1" s="189"/>
      <c r="E1" s="189"/>
      <c r="F1" s="189"/>
      <c r="G1" s="189"/>
      <c r="H1" s="189"/>
      <c r="I1" s="189"/>
      <c r="J1" s="189"/>
      <c r="L1" s="2">
        <v>13</v>
      </c>
      <c r="M1" s="3"/>
      <c r="N1" s="3"/>
      <c r="O1" s="3"/>
      <c r="P1" s="3"/>
      <c r="Q1" s="3"/>
      <c r="R1" s="3"/>
      <c r="T1" s="3"/>
      <c r="U1" s="3"/>
      <c r="V1" s="3"/>
      <c r="X1" s="3"/>
      <c r="Y1" s="3"/>
      <c r="Z1" s="3"/>
      <c r="AA1" s="3"/>
      <c r="AB1" s="3"/>
      <c r="AC1" s="3"/>
      <c r="AD1" s="3"/>
      <c r="AE1" s="3"/>
    </row>
    <row r="2" spans="1:33" ht="15">
      <c r="A2" s="3"/>
      <c r="B2" s="3"/>
      <c r="C2" s="3"/>
      <c r="D2" s="3"/>
      <c r="E2" s="3"/>
      <c r="F2" s="3"/>
      <c r="G2" s="3"/>
      <c r="H2" s="3"/>
      <c r="I2" s="3"/>
      <c r="J2" s="3"/>
      <c r="M2" s="3"/>
      <c r="N2" s="3"/>
      <c r="O2" s="3"/>
      <c r="P2" s="3"/>
      <c r="Q2" s="3"/>
      <c r="R2" s="3"/>
      <c r="T2" s="3"/>
      <c r="U2" s="3"/>
      <c r="V2" s="3"/>
      <c r="X2" s="3"/>
      <c r="Y2" s="3"/>
      <c r="Z2" s="3"/>
      <c r="AA2" s="3"/>
      <c r="AB2" s="3"/>
      <c r="AC2" s="3"/>
      <c r="AD2" s="3"/>
      <c r="AE2" s="3"/>
    </row>
    <row r="3" spans="1:33" ht="15.75" customHeight="1">
      <c r="A3" s="4"/>
      <c r="B3" s="5" t="s">
        <v>1</v>
      </c>
      <c r="C3" s="6">
        <f ca="1">J33</f>
        <v>0</v>
      </c>
      <c r="D3" s="7" t="s">
        <v>2</v>
      </c>
      <c r="E3" s="5" t="s">
        <v>3</v>
      </c>
      <c r="F3" s="8"/>
      <c r="G3" s="7" t="s">
        <v>4</v>
      </c>
      <c r="H3" s="9" t="s">
        <v>5</v>
      </c>
      <c r="I3" s="6">
        <f>IF(F3 &lt;&gt; "",IF(F3=0,0,J33/F3),0)</f>
        <v>0</v>
      </c>
      <c r="M3" s="3"/>
      <c r="N3" s="10" t="s">
        <v>6</v>
      </c>
      <c r="O3"/>
      <c r="P3" s="11" t="s">
        <v>7</v>
      </c>
      <c r="Q3" s="11"/>
      <c r="R3" s="12" t="s">
        <v>4</v>
      </c>
      <c r="T3" s="11" t="s">
        <v>8</v>
      </c>
      <c r="U3" s="11"/>
      <c r="V3" s="13" t="s">
        <v>2</v>
      </c>
      <c r="X3" s="11" t="s">
        <v>9</v>
      </c>
      <c r="Y3" s="3"/>
      <c r="Z3" s="3"/>
      <c r="AA3" s="3"/>
      <c r="AB3" s="14" t="s">
        <v>10</v>
      </c>
      <c r="AC3" s="3"/>
      <c r="AD3" s="15" t="s">
        <v>11</v>
      </c>
      <c r="AE3"/>
      <c r="AG3" s="15" t="s">
        <v>12</v>
      </c>
    </row>
    <row r="4" spans="1:33" ht="15.75" customHeight="1">
      <c r="B4" s="5" t="s">
        <v>13</v>
      </c>
      <c r="C4" s="16"/>
      <c r="D4" s="7"/>
      <c r="E4" s="5" t="s">
        <v>14</v>
      </c>
      <c r="F4" s="17">
        <f>$F$8</f>
        <v>0.3</v>
      </c>
      <c r="G4" s="7" t="s">
        <v>4</v>
      </c>
      <c r="H4" s="9" t="s">
        <v>15</v>
      </c>
      <c r="I4" s="18">
        <f>I3/F4</f>
        <v>0</v>
      </c>
      <c r="L4" s="66"/>
      <c r="M4" s="19" t="s">
        <v>16</v>
      </c>
      <c r="N4" s="20"/>
      <c r="O4"/>
      <c r="P4" s="11" t="s">
        <v>17</v>
      </c>
      <c r="Q4" s="11"/>
      <c r="R4" s="12" t="s">
        <v>4</v>
      </c>
      <c r="T4" s="11" t="s">
        <v>18</v>
      </c>
      <c r="U4" s="11"/>
      <c r="V4" s="13" t="s">
        <v>19</v>
      </c>
      <c r="X4" s="11" t="s">
        <v>20</v>
      </c>
      <c r="Y4" s="3"/>
      <c r="Z4" s="3"/>
      <c r="AA4" s="3"/>
      <c r="AB4" s="21" t="s">
        <v>21</v>
      </c>
      <c r="AC4" s="3"/>
      <c r="AD4" s="22">
        <v>16</v>
      </c>
      <c r="AE4"/>
    </row>
    <row r="5" spans="1:33">
      <c r="B5" s="5" t="s">
        <v>22</v>
      </c>
      <c r="C5" s="8"/>
      <c r="E5" s="5" t="s">
        <v>23</v>
      </c>
      <c r="F5" s="23"/>
      <c r="H5" s="9" t="s">
        <v>24</v>
      </c>
      <c r="I5" s="18">
        <f>I4*(1+IF(I6="",0,I6))</f>
        <v>0</v>
      </c>
      <c r="M5" s="19" t="s">
        <v>25</v>
      </c>
      <c r="N5" s="24"/>
      <c r="O5"/>
      <c r="P5" s="25" t="s">
        <v>26</v>
      </c>
      <c r="Q5" s="25"/>
      <c r="R5" s="12" t="s">
        <v>4</v>
      </c>
      <c r="T5" s="25" t="s">
        <v>27</v>
      </c>
      <c r="U5" s="25"/>
      <c r="V5" s="13" t="s">
        <v>28</v>
      </c>
      <c r="X5" s="25" t="s">
        <v>18</v>
      </c>
      <c r="Y5" s="3"/>
      <c r="Z5" s="3"/>
      <c r="AA5" s="3"/>
      <c r="AB5" s="3" t="s">
        <v>29</v>
      </c>
      <c r="AC5" s="3"/>
      <c r="AD5" s="22">
        <v>17</v>
      </c>
      <c r="AE5"/>
    </row>
    <row r="6" spans="1:33">
      <c r="E6" s="5" t="s">
        <v>30</v>
      </c>
      <c r="F6" s="26">
        <f>I4-I3</f>
        <v>0</v>
      </c>
      <c r="H6" s="9" t="s">
        <v>31</v>
      </c>
      <c r="I6" s="167"/>
      <c r="M6" s="19" t="s">
        <v>32</v>
      </c>
      <c r="N6" s="27">
        <f>IF(N5=0, 0, N4/N5)</f>
        <v>0</v>
      </c>
      <c r="O6"/>
      <c r="P6" s="25" t="s">
        <v>33</v>
      </c>
      <c r="Q6" s="25"/>
      <c r="R6" s="12" t="s">
        <v>4</v>
      </c>
      <c r="T6" s="25" t="s">
        <v>34</v>
      </c>
      <c r="U6" s="25"/>
      <c r="V6" s="13" t="s">
        <v>2</v>
      </c>
      <c r="X6" s="25" t="s">
        <v>35</v>
      </c>
      <c r="AB6" s="3" t="s">
        <v>36</v>
      </c>
      <c r="AC6" s="3"/>
      <c r="AD6" s="22">
        <v>18</v>
      </c>
      <c r="AE6"/>
    </row>
    <row r="7" spans="1:33">
      <c r="E7" s="5" t="s">
        <v>37</v>
      </c>
      <c r="F7" s="6">
        <f>$H$40</f>
        <v>0</v>
      </c>
      <c r="M7" s="19"/>
      <c r="N7"/>
      <c r="O7"/>
      <c r="P7" s="25" t="s">
        <v>38</v>
      </c>
      <c r="Q7" s="25"/>
      <c r="R7" s="12" t="s">
        <v>39</v>
      </c>
      <c r="T7" s="25" t="s">
        <v>40</v>
      </c>
      <c r="U7" s="25"/>
      <c r="V7" s="13" t="s">
        <v>2</v>
      </c>
      <c r="X7" s="25" t="s">
        <v>41</v>
      </c>
      <c r="AB7" s="3"/>
      <c r="AC7" s="3"/>
      <c r="AD7" s="22"/>
      <c r="AE7"/>
    </row>
    <row r="8" spans="1:33">
      <c r="A8" s="28" t="s">
        <v>42</v>
      </c>
      <c r="C8" s="29" t="s">
        <v>86</v>
      </c>
      <c r="D8" s="30"/>
      <c r="E8" s="21" t="s">
        <v>14</v>
      </c>
      <c r="F8" s="31">
        <v>0.3</v>
      </c>
      <c r="M8" s="19"/>
      <c r="N8"/>
      <c r="O8"/>
      <c r="P8" s="25" t="s">
        <v>44</v>
      </c>
      <c r="Q8" s="25"/>
      <c r="R8" s="12" t="s">
        <v>4</v>
      </c>
      <c r="T8" s="25" t="s">
        <v>45</v>
      </c>
      <c r="U8" s="25"/>
      <c r="V8" s="13" t="s">
        <v>2</v>
      </c>
      <c r="X8" s="25" t="s">
        <v>46</v>
      </c>
      <c r="AB8" s="3" t="s">
        <v>47</v>
      </c>
      <c r="AC8" s="3"/>
      <c r="AD8" s="22">
        <v>19</v>
      </c>
      <c r="AE8"/>
    </row>
    <row r="9" spans="1:33" s="33" customFormat="1" ht="18" customHeight="1">
      <c r="A9" s="32" t="s">
        <v>48</v>
      </c>
      <c r="B9" s="190" t="s">
        <v>49</v>
      </c>
      <c r="C9" s="190"/>
      <c r="D9" s="190"/>
      <c r="E9" s="190"/>
      <c r="F9" s="190"/>
      <c r="J9"/>
      <c r="K9"/>
      <c r="O9" s="1"/>
      <c r="P9" s="25" t="s">
        <v>50</v>
      </c>
      <c r="Q9" s="25"/>
      <c r="R9" s="12" t="s">
        <v>4</v>
      </c>
      <c r="S9"/>
      <c r="T9" s="25" t="s">
        <v>51</v>
      </c>
      <c r="U9" s="25"/>
      <c r="V9" s="13" t="s">
        <v>28</v>
      </c>
      <c r="W9"/>
      <c r="X9" s="25" t="s">
        <v>52</v>
      </c>
      <c r="Y9" s="34"/>
      <c r="Z9" s="34"/>
      <c r="AA9" s="34"/>
      <c r="AB9" s="3" t="s">
        <v>53</v>
      </c>
      <c r="AC9" s="3"/>
      <c r="AD9" s="22">
        <v>20</v>
      </c>
      <c r="AE9"/>
    </row>
    <row r="10" spans="1:33" ht="15">
      <c r="A10" s="3"/>
      <c r="B10" s="3"/>
      <c r="C10" s="3"/>
      <c r="D10" s="3"/>
      <c r="E10" s="3"/>
      <c r="F10" s="3"/>
      <c r="G10" s="3"/>
      <c r="H10" s="3"/>
      <c r="I10" s="3"/>
      <c r="J10" s="3"/>
      <c r="M10" s="3"/>
      <c r="P10" s="25" t="s">
        <v>54</v>
      </c>
      <c r="Q10" s="25"/>
      <c r="R10" s="12" t="s">
        <v>4</v>
      </c>
      <c r="T10" s="35">
        <v>32</v>
      </c>
      <c r="U10" s="25"/>
      <c r="V10" s="13" t="s">
        <v>2</v>
      </c>
      <c r="X10" s="25" t="s">
        <v>55</v>
      </c>
      <c r="AA10" s="3"/>
      <c r="AB10" s="3"/>
      <c r="AC10" s="3"/>
      <c r="AD10" s="22">
        <v>21</v>
      </c>
      <c r="AE10"/>
    </row>
    <row r="11" spans="1:33" ht="15.75" customHeight="1">
      <c r="A11" s="7"/>
      <c r="B11" s="3"/>
      <c r="C11" s="3"/>
      <c r="D11" s="3"/>
      <c r="E11" s="191" t="s">
        <v>56</v>
      </c>
      <c r="F11" s="192"/>
      <c r="G11" s="192"/>
      <c r="H11" s="193"/>
      <c r="I11" s="36" t="s">
        <v>57</v>
      </c>
      <c r="J11" s="36" t="s">
        <v>58</v>
      </c>
      <c r="M11" s="14"/>
      <c r="N11" s="14"/>
      <c r="O11" s="14"/>
      <c r="P11" s="25" t="s">
        <v>59</v>
      </c>
      <c r="Q11" s="25"/>
      <c r="R11" s="12" t="s">
        <v>4</v>
      </c>
      <c r="T11" s="35">
        <v>10.210000000000001</v>
      </c>
      <c r="U11" s="25"/>
      <c r="V11" s="13" t="s">
        <v>2</v>
      </c>
      <c r="X11" s="25" t="s">
        <v>60</v>
      </c>
      <c r="AA11" s="3"/>
      <c r="AB11" s="3"/>
      <c r="AC11" s="3"/>
      <c r="AD11" s="22">
        <v>22</v>
      </c>
      <c r="AE11"/>
    </row>
    <row r="12" spans="1:33" ht="15.75" customHeight="1">
      <c r="A12" s="194" t="s">
        <v>61</v>
      </c>
      <c r="B12" s="195"/>
      <c r="C12" s="195"/>
      <c r="D12" s="196"/>
      <c r="E12" s="37" t="s">
        <v>62</v>
      </c>
      <c r="F12" s="37" t="s">
        <v>63</v>
      </c>
      <c r="G12" s="37" t="s">
        <v>64</v>
      </c>
      <c r="H12" s="37" t="s">
        <v>65</v>
      </c>
      <c r="I12" s="38" t="s">
        <v>66</v>
      </c>
      <c r="J12" s="39" t="s">
        <v>57</v>
      </c>
      <c r="M12" s="14"/>
      <c r="N12" s="3"/>
      <c r="O12" s="3"/>
      <c r="P12" s="25" t="s">
        <v>67</v>
      </c>
      <c r="Q12" s="25"/>
      <c r="R12" s="12" t="s">
        <v>4</v>
      </c>
      <c r="T12" s="25" t="s">
        <v>68</v>
      </c>
      <c r="U12" s="25"/>
      <c r="V12" s="13" t="s">
        <v>2</v>
      </c>
      <c r="X12" s="25" t="s">
        <v>69</v>
      </c>
      <c r="AA12" s="3"/>
      <c r="AB12" s="3"/>
      <c r="AC12" s="3"/>
      <c r="AD12" s="3"/>
      <c r="AE12"/>
    </row>
    <row r="13" spans="1:33">
      <c r="A13" s="184"/>
      <c r="B13" s="185"/>
      <c r="C13" s="185"/>
      <c r="D13" s="186"/>
      <c r="E13" s="40"/>
      <c r="F13" s="40"/>
      <c r="G13" s="40"/>
      <c r="H13" s="41"/>
      <c r="I13" s="42" t="str">
        <f ca="1">IFERROR(IF(ISBLANK(H42),"",H42),0)</f>
        <v/>
      </c>
      <c r="J13" s="43">
        <f ca="1">IFERROR(IF(OR(ISBLANK(E13),ISBLANK(F13),ISBLANK(G13)),(I13*E13)+(I13*F13)+(I13*G13)),0)</f>
        <v>0</v>
      </c>
      <c r="M13" s="14"/>
      <c r="N13" s="3"/>
      <c r="O13" s="3"/>
      <c r="P13" s="44" t="s">
        <v>71</v>
      </c>
      <c r="Q13" s="44"/>
      <c r="R13" s="12" t="s">
        <v>4</v>
      </c>
      <c r="T13" s="25" t="s">
        <v>72</v>
      </c>
      <c r="U13" s="25"/>
      <c r="V13" s="13" t="s">
        <v>2</v>
      </c>
      <c r="X13" s="25" t="s">
        <v>73</v>
      </c>
      <c r="Y13" t="s">
        <v>74</v>
      </c>
      <c r="AA13" s="3"/>
      <c r="AB13" s="3"/>
      <c r="AC13" s="3"/>
      <c r="AD13" s="3"/>
      <c r="AE13" s="3"/>
    </row>
    <row r="14" spans="1:33">
      <c r="A14" s="184"/>
      <c r="B14" s="185"/>
      <c r="C14" s="185"/>
      <c r="D14" s="186"/>
      <c r="E14" s="40"/>
      <c r="F14" s="40"/>
      <c r="G14" s="40"/>
      <c r="H14" s="41"/>
      <c r="I14" s="42" t="str">
        <f t="shared" ref="I14:I28" ca="1" si="0">IFERROR(IF(ISBLANK(H43),"",H43),0)</f>
        <v/>
      </c>
      <c r="J14" s="43">
        <f t="shared" ref="J14:J28" ca="1" si="1">IFERROR(IF(OR(ISBLANK(E14),ISBLANK(F14),ISBLANK(G14)),(I14*E14)+(I14*F14)+(I14*G14)),0)</f>
        <v>0</v>
      </c>
      <c r="M14" s="14"/>
      <c r="N14" s="3"/>
      <c r="O14" s="3"/>
      <c r="AA14" s="3"/>
      <c r="AB14" s="3"/>
      <c r="AC14" s="3"/>
      <c r="AD14" s="3"/>
      <c r="AE14" s="3"/>
    </row>
    <row r="15" spans="1:33">
      <c r="A15" s="184"/>
      <c r="B15" s="185"/>
      <c r="C15" s="185"/>
      <c r="D15" s="186"/>
      <c r="E15" s="40"/>
      <c r="F15" s="40"/>
      <c r="G15" s="40"/>
      <c r="H15" s="41"/>
      <c r="I15" s="42" t="str">
        <f t="shared" ca="1" si="0"/>
        <v/>
      </c>
      <c r="J15" s="43">
        <f t="shared" ca="1" si="1"/>
        <v>0</v>
      </c>
      <c r="M15" s="14"/>
      <c r="N15" s="3"/>
      <c r="O15" s="3"/>
      <c r="P15" s="3"/>
      <c r="Q15" s="3"/>
      <c r="R15" s="3"/>
      <c r="T15" s="3"/>
      <c r="U15" s="3"/>
      <c r="V15" s="3"/>
      <c r="X15" s="3"/>
      <c r="AA15" s="3"/>
      <c r="AB15" s="3"/>
      <c r="AC15" s="3"/>
      <c r="AD15" s="3"/>
      <c r="AE15" s="3"/>
    </row>
    <row r="16" spans="1:33">
      <c r="A16" s="184"/>
      <c r="B16" s="185"/>
      <c r="C16" s="185"/>
      <c r="D16" s="186"/>
      <c r="E16" s="40"/>
      <c r="F16" s="40"/>
      <c r="G16" s="40"/>
      <c r="H16" s="41"/>
      <c r="I16" s="42" t="str">
        <f t="shared" ca="1" si="0"/>
        <v/>
      </c>
      <c r="J16" s="43">
        <f t="shared" ca="1" si="1"/>
        <v>0</v>
      </c>
      <c r="M16" s="14"/>
      <c r="N16" s="3"/>
      <c r="O16" s="3"/>
      <c r="P16" s="3"/>
      <c r="Q16" s="3"/>
      <c r="R16" s="3"/>
      <c r="T16" s="3"/>
      <c r="U16" s="3"/>
      <c r="V16" s="3"/>
      <c r="X16" s="3"/>
      <c r="Y16" s="3"/>
      <c r="Z16" s="3"/>
      <c r="AA16" s="3"/>
      <c r="AB16" s="3"/>
      <c r="AC16" s="3"/>
      <c r="AD16" s="3"/>
      <c r="AE16" s="3"/>
    </row>
    <row r="17" spans="1:36" ht="14.25" customHeight="1">
      <c r="A17" s="175"/>
      <c r="B17" s="176"/>
      <c r="C17" s="176"/>
      <c r="D17" s="177"/>
      <c r="E17" s="40"/>
      <c r="F17" s="40"/>
      <c r="G17" s="40"/>
      <c r="H17" s="41"/>
      <c r="I17" s="42" t="str">
        <f t="shared" ca="1" si="0"/>
        <v/>
      </c>
      <c r="J17" s="43">
        <f t="shared" ca="1" si="1"/>
        <v>0</v>
      </c>
      <c r="M17" s="14"/>
      <c r="N17" s="3"/>
      <c r="O17" s="3"/>
      <c r="Q17" s="3"/>
      <c r="R17" s="3"/>
      <c r="T17" s="3"/>
      <c r="U17" s="3"/>
      <c r="V17" s="3"/>
      <c r="X17" s="3"/>
      <c r="Y17" s="200" t="s">
        <v>73</v>
      </c>
      <c r="Z17" s="201"/>
      <c r="AA17" s="201"/>
      <c r="AB17" s="202"/>
      <c r="AC17" s="3"/>
      <c r="AH17" s="45" t="s">
        <v>76</v>
      </c>
      <c r="AI17" s="46" t="s">
        <v>77</v>
      </c>
      <c r="AJ17" s="47" t="s">
        <v>78</v>
      </c>
    </row>
    <row r="18" spans="1:36" ht="18">
      <c r="A18" s="175"/>
      <c r="B18" s="176"/>
      <c r="C18" s="176"/>
      <c r="D18" s="177"/>
      <c r="E18" s="40"/>
      <c r="F18" s="40"/>
      <c r="G18" s="40"/>
      <c r="H18" s="41"/>
      <c r="I18" s="42" t="str">
        <f t="shared" ca="1" si="0"/>
        <v/>
      </c>
      <c r="J18" s="43">
        <f t="shared" ca="1" si="1"/>
        <v>0</v>
      </c>
      <c r="M18" s="14"/>
      <c r="N18" s="3"/>
      <c r="O18" s="3"/>
      <c r="P18" s="48" t="s">
        <v>80</v>
      </c>
      <c r="Y18" s="49" t="s">
        <v>81</v>
      </c>
      <c r="Z18" s="49" t="s">
        <v>82</v>
      </c>
      <c r="AA18" s="49" t="s">
        <v>83</v>
      </c>
      <c r="AB18" s="49" t="s">
        <v>84</v>
      </c>
      <c r="AC18" s="3"/>
      <c r="AH18" s="50" cm="1">
        <f t="array" aca="1" ref="AH18" ca="1">_xlfn.XLOOKUP(C8, INDEX(FoodCostTable,,1), INDEX(FoodCostTable,,2))</f>
        <v>0.25</v>
      </c>
      <c r="AI18" s="51" cm="1">
        <f t="array" aca="1" ref="AI18" ca="1">_xlfn.XLOOKUP(C8, INDEX(FoodCostTable,,1), INDEX(FoodCostTable,,3))</f>
        <v>0.35</v>
      </c>
      <c r="AJ18" s="52" cm="1">
        <f t="array" aca="1" ref="AJ18:AJ28" ca="1">IF(AND(ISNUMBER(AH18), ISNUMBER(AI18)), _xlfn.SEQUENCE(AI18*100 - AH18*100 + 1,,AH18*100,1)/100,"")</f>
        <v>0.25</v>
      </c>
    </row>
    <row r="19" spans="1:36">
      <c r="A19" s="175"/>
      <c r="B19" s="176"/>
      <c r="C19" s="176"/>
      <c r="D19" s="177"/>
      <c r="E19" s="40"/>
      <c r="F19" s="40"/>
      <c r="G19" s="40"/>
      <c r="H19" s="41"/>
      <c r="I19" s="42" t="str">
        <f t="shared" ca="1" si="0"/>
        <v/>
      </c>
      <c r="J19" s="43">
        <f t="shared" ca="1" si="1"/>
        <v>0</v>
      </c>
      <c r="M19" s="14"/>
      <c r="N19" s="3"/>
      <c r="O19" s="3"/>
      <c r="P19" s="53" t="s">
        <v>85</v>
      </c>
      <c r="Q19" s="44"/>
      <c r="R19" s="3"/>
      <c r="T19" s="3"/>
      <c r="U19" s="3"/>
      <c r="V19" s="3"/>
      <c r="X19" s="3"/>
      <c r="Y19" s="54" t="s">
        <v>86</v>
      </c>
      <c r="Z19" s="55">
        <v>0.25</v>
      </c>
      <c r="AA19" s="56">
        <v>0.35</v>
      </c>
      <c r="AB19" s="57" t="s">
        <v>87</v>
      </c>
      <c r="AC19" s="3"/>
      <c r="AH19" s="58"/>
      <c r="AI19" s="3"/>
      <c r="AJ19" s="52">
        <f ca="1"/>
        <v>0.26</v>
      </c>
    </row>
    <row r="20" spans="1:36">
      <c r="A20" s="175"/>
      <c r="B20" s="176"/>
      <c r="C20" s="176"/>
      <c r="D20" s="177"/>
      <c r="E20" s="40"/>
      <c r="F20" s="40"/>
      <c r="G20" s="40"/>
      <c r="H20" s="41"/>
      <c r="I20" s="42" t="str">
        <f t="shared" ca="1" si="0"/>
        <v/>
      </c>
      <c r="J20" s="43">
        <f t="shared" ca="1" si="1"/>
        <v>0</v>
      </c>
      <c r="M20" s="14"/>
      <c r="N20" s="3"/>
      <c r="O20" s="3"/>
      <c r="P20" s="53" t="s">
        <v>88</v>
      </c>
      <c r="Q20"/>
      <c r="R20" s="3"/>
      <c r="T20" s="3"/>
      <c r="U20" s="3"/>
      <c r="V20" s="3"/>
      <c r="X20" s="3"/>
      <c r="Y20" s="54" t="s">
        <v>89</v>
      </c>
      <c r="Z20" s="55">
        <v>0.26</v>
      </c>
      <c r="AA20" s="56">
        <v>0.34</v>
      </c>
      <c r="AB20" t="s">
        <v>90</v>
      </c>
      <c r="AC20" s="3"/>
      <c r="AH20" s="58"/>
      <c r="AI20" s="3"/>
      <c r="AJ20" s="52">
        <f ca="1"/>
        <v>0.27</v>
      </c>
    </row>
    <row r="21" spans="1:36">
      <c r="A21" s="175"/>
      <c r="B21" s="176"/>
      <c r="C21" s="176"/>
      <c r="D21" s="177"/>
      <c r="E21" s="40"/>
      <c r="F21" s="40"/>
      <c r="G21" s="40"/>
      <c r="H21" s="41"/>
      <c r="I21" s="42" t="str">
        <f t="shared" ca="1" si="0"/>
        <v/>
      </c>
      <c r="J21" s="43">
        <f t="shared" ca="1" si="1"/>
        <v>0</v>
      </c>
      <c r="M21" s="14"/>
      <c r="N21" s="3"/>
      <c r="O21" s="3"/>
      <c r="P21" s="53" t="s">
        <v>91</v>
      </c>
      <c r="Q21" s="44"/>
      <c r="R21" s="3"/>
      <c r="T21" s="3"/>
      <c r="U21" s="3"/>
      <c r="V21" s="3"/>
      <c r="X21" s="3"/>
      <c r="Y21" s="54" t="s">
        <v>92</v>
      </c>
      <c r="Z21" s="55">
        <v>0.28000000000000003</v>
      </c>
      <c r="AA21" s="56">
        <v>0.36</v>
      </c>
      <c r="AB21" t="s">
        <v>93</v>
      </c>
      <c r="AC21" s="3"/>
      <c r="AH21" s="58"/>
      <c r="AI21" s="3"/>
      <c r="AJ21" s="52">
        <f ca="1"/>
        <v>0.28000000000000003</v>
      </c>
    </row>
    <row r="22" spans="1:36">
      <c r="A22" s="175"/>
      <c r="B22" s="176"/>
      <c r="C22" s="176"/>
      <c r="D22" s="177"/>
      <c r="E22" s="40"/>
      <c r="F22" s="40"/>
      <c r="G22" s="40"/>
      <c r="H22" s="41"/>
      <c r="I22" s="42" t="str">
        <f t="shared" ca="1" si="0"/>
        <v/>
      </c>
      <c r="J22" s="43">
        <f t="shared" ca="1" si="1"/>
        <v>0</v>
      </c>
      <c r="M22" s="14"/>
      <c r="N22" s="3"/>
      <c r="O22" s="3"/>
      <c r="P22" s="59"/>
      <c r="Q22" s="44"/>
      <c r="R22" s="3"/>
      <c r="T22" s="3"/>
      <c r="U22" s="3"/>
      <c r="V22" s="3"/>
      <c r="X22" s="3"/>
      <c r="Y22" s="54" t="s">
        <v>94</v>
      </c>
      <c r="Z22" s="55">
        <v>0.3</v>
      </c>
      <c r="AA22" s="56">
        <v>0.4</v>
      </c>
      <c r="AB22" s="57" t="s">
        <v>95</v>
      </c>
      <c r="AC22" s="3"/>
      <c r="AH22" s="58"/>
      <c r="AI22" s="3"/>
      <c r="AJ22" s="52">
        <f ca="1"/>
        <v>0.28999999999999998</v>
      </c>
    </row>
    <row r="23" spans="1:36" ht="15">
      <c r="A23" s="175"/>
      <c r="B23" s="176"/>
      <c r="C23" s="176"/>
      <c r="D23" s="177"/>
      <c r="E23" s="40"/>
      <c r="F23" s="40"/>
      <c r="G23" s="40"/>
      <c r="H23" s="41"/>
      <c r="I23" s="42" t="str">
        <f t="shared" ca="1" si="0"/>
        <v/>
      </c>
      <c r="J23" s="43">
        <f t="shared" ca="1" si="1"/>
        <v>0</v>
      </c>
      <c r="M23" s="3"/>
      <c r="N23" s="3"/>
      <c r="O23" s="3"/>
      <c r="Q23"/>
      <c r="R23" s="3"/>
      <c r="T23" s="3"/>
      <c r="U23" s="3"/>
      <c r="V23" s="3"/>
      <c r="X23" s="3"/>
      <c r="Y23" s="54" t="s">
        <v>43</v>
      </c>
      <c r="Z23" s="55">
        <v>0.22</v>
      </c>
      <c r="AA23" s="56">
        <v>0.32</v>
      </c>
      <c r="AB23" t="s">
        <v>96</v>
      </c>
      <c r="AC23" s="3"/>
      <c r="AH23" s="58"/>
      <c r="AI23" s="3"/>
      <c r="AJ23" s="52">
        <f ca="1"/>
        <v>0.3</v>
      </c>
    </row>
    <row r="24" spans="1:36" ht="15">
      <c r="A24" s="175"/>
      <c r="B24" s="176"/>
      <c r="C24" s="176"/>
      <c r="D24" s="177"/>
      <c r="E24" s="40"/>
      <c r="F24" s="40"/>
      <c r="G24" s="40"/>
      <c r="H24" s="41"/>
      <c r="I24" s="42" t="str">
        <f t="shared" ca="1" si="0"/>
        <v/>
      </c>
      <c r="J24" s="43">
        <f t="shared" ca="1" si="1"/>
        <v>0</v>
      </c>
      <c r="M24" s="3"/>
      <c r="N24" s="3"/>
      <c r="O24" s="3"/>
      <c r="R24" s="3"/>
      <c r="T24" s="3"/>
      <c r="U24" s="3"/>
      <c r="V24" s="3"/>
      <c r="X24" s="3"/>
      <c r="Y24" s="54" t="s">
        <v>97</v>
      </c>
      <c r="Z24" s="55">
        <v>0.25</v>
      </c>
      <c r="AA24" s="56">
        <v>0.38</v>
      </c>
      <c r="AB24" t="s">
        <v>98</v>
      </c>
      <c r="AC24" s="3"/>
      <c r="AH24" s="58"/>
      <c r="AI24" s="3"/>
      <c r="AJ24" s="52">
        <f ca="1"/>
        <v>0.31</v>
      </c>
    </row>
    <row r="25" spans="1:36" ht="15">
      <c r="A25" s="175"/>
      <c r="B25" s="176"/>
      <c r="C25" s="176"/>
      <c r="D25" s="177"/>
      <c r="E25" s="40"/>
      <c r="F25" s="40"/>
      <c r="G25" s="40"/>
      <c r="H25" s="41"/>
      <c r="I25" s="42" t="str">
        <f t="shared" ca="1" si="0"/>
        <v/>
      </c>
      <c r="J25" s="43">
        <f t="shared" ca="1" si="1"/>
        <v>0</v>
      </c>
      <c r="M25" s="3"/>
      <c r="N25" s="3"/>
      <c r="O25" s="3"/>
      <c r="P25" s="3"/>
      <c r="Q25" s="3"/>
      <c r="R25" s="3"/>
      <c r="T25" s="3"/>
      <c r="U25" s="3"/>
      <c r="V25" s="3"/>
      <c r="X25" s="3"/>
      <c r="Y25" s="54" t="s">
        <v>99</v>
      </c>
      <c r="Z25" s="55">
        <v>0.2</v>
      </c>
      <c r="AA25" s="56">
        <v>0.3</v>
      </c>
      <c r="AB25" t="s">
        <v>100</v>
      </c>
      <c r="AC25" s="3"/>
      <c r="AH25" s="58"/>
      <c r="AI25" s="3"/>
      <c r="AJ25" s="52">
        <f ca="1"/>
        <v>0.32</v>
      </c>
    </row>
    <row r="26" spans="1:36" ht="15">
      <c r="A26" s="175"/>
      <c r="B26" s="176"/>
      <c r="C26" s="176"/>
      <c r="D26" s="177"/>
      <c r="E26" s="40"/>
      <c r="F26" s="40"/>
      <c r="G26" s="40"/>
      <c r="H26" s="41"/>
      <c r="I26" s="42" t="str">
        <f t="shared" si="0"/>
        <v/>
      </c>
      <c r="J26" s="43">
        <f t="shared" si="1"/>
        <v>0</v>
      </c>
      <c r="M26" s="3"/>
      <c r="N26" s="3"/>
      <c r="O26" s="3"/>
      <c r="R26" s="3"/>
      <c r="T26" s="3"/>
      <c r="U26" s="3"/>
      <c r="V26" s="3"/>
      <c r="X26" s="3"/>
      <c r="Y26" s="54" t="s">
        <v>101</v>
      </c>
      <c r="Z26" s="55">
        <v>0.18</v>
      </c>
      <c r="AA26" s="56">
        <v>0.28000000000000003</v>
      </c>
      <c r="AB26" t="s">
        <v>102</v>
      </c>
      <c r="AC26" s="3"/>
      <c r="AH26" s="58"/>
      <c r="AI26" s="3"/>
      <c r="AJ26" s="52">
        <f ca="1"/>
        <v>0.33</v>
      </c>
    </row>
    <row r="27" spans="1:36" ht="15">
      <c r="A27" s="175"/>
      <c r="B27" s="176"/>
      <c r="C27" s="176"/>
      <c r="D27" s="177"/>
      <c r="E27" s="40"/>
      <c r="F27" s="40"/>
      <c r="G27" s="40"/>
      <c r="H27" s="41"/>
      <c r="I27" s="42" t="str">
        <f t="shared" si="0"/>
        <v/>
      </c>
      <c r="J27" s="43">
        <f t="shared" si="1"/>
        <v>0</v>
      </c>
      <c r="M27" s="3"/>
      <c r="N27" s="3"/>
      <c r="O27" s="3"/>
      <c r="P27" s="3"/>
      <c r="Q27" s="3"/>
      <c r="R27" s="3"/>
      <c r="T27" s="3"/>
      <c r="U27" s="3"/>
      <c r="V27" s="3"/>
      <c r="X27" s="3"/>
      <c r="Y27" s="54" t="s">
        <v>103</v>
      </c>
      <c r="Z27" s="55">
        <v>0.28000000000000003</v>
      </c>
      <c r="AA27" s="56">
        <v>0.38</v>
      </c>
      <c r="AB27" t="s">
        <v>104</v>
      </c>
      <c r="AC27" s="3"/>
      <c r="AH27" s="58"/>
      <c r="AI27" s="3"/>
      <c r="AJ27" s="52">
        <f ca="1"/>
        <v>0.34</v>
      </c>
    </row>
    <row r="28" spans="1:36" ht="15">
      <c r="A28" s="175"/>
      <c r="B28" s="176"/>
      <c r="C28" s="176"/>
      <c r="D28" s="177"/>
      <c r="E28" s="40"/>
      <c r="F28" s="40"/>
      <c r="G28" s="40"/>
      <c r="H28" s="41"/>
      <c r="I28" s="42" t="str">
        <f t="shared" si="0"/>
        <v/>
      </c>
      <c r="J28" s="43">
        <f t="shared" si="1"/>
        <v>0</v>
      </c>
      <c r="M28" s="3"/>
      <c r="N28" s="3"/>
      <c r="O28" s="3"/>
      <c r="P28" s="3"/>
      <c r="Q28" s="3"/>
      <c r="R28" s="3"/>
      <c r="T28" s="3"/>
      <c r="U28" s="3"/>
      <c r="V28" s="3"/>
      <c r="X28" s="3"/>
      <c r="Y28" s="54" t="s">
        <v>105</v>
      </c>
      <c r="Z28" s="60">
        <v>0.2</v>
      </c>
      <c r="AA28" s="61">
        <v>0.35</v>
      </c>
      <c r="AB28" t="s">
        <v>106</v>
      </c>
      <c r="AC28" s="3"/>
      <c r="AH28" s="58"/>
      <c r="AI28" s="3"/>
      <c r="AJ28" s="52">
        <f ca="1"/>
        <v>0.35</v>
      </c>
    </row>
    <row r="29" spans="1:36" s="159" customFormat="1" ht="15">
      <c r="A29" s="175"/>
      <c r="B29" s="176"/>
      <c r="C29" s="176"/>
      <c r="D29" s="177"/>
      <c r="E29" s="40"/>
      <c r="F29" s="40"/>
      <c r="G29" s="40"/>
      <c r="H29" s="41"/>
      <c r="I29" s="42" t="str">
        <f>IFERROR(IF(ISBLANK(H58),"",H58),0)</f>
        <v/>
      </c>
      <c r="J29" s="43">
        <f t="shared" ref="J29" si="2">IFERROR(IF(OR(ISBLANK(E29),ISBLANK(F29),ISBLANK(G29)),(I29*E29)+(I29*F29)+(I29*G29)),0)</f>
        <v>0</v>
      </c>
      <c r="M29" s="3"/>
      <c r="N29" s="3"/>
      <c r="O29" s="3"/>
      <c r="P29" s="3"/>
      <c r="Q29" s="3"/>
      <c r="R29" s="3"/>
      <c r="S29"/>
      <c r="T29" s="3"/>
      <c r="U29" s="3"/>
      <c r="V29" s="3"/>
      <c r="W29"/>
      <c r="X29" s="3"/>
      <c r="Y29" s="54"/>
      <c r="Z29" s="60"/>
      <c r="AA29" s="61"/>
      <c r="AB29"/>
      <c r="AC29" s="3"/>
      <c r="AH29" s="58"/>
      <c r="AI29" s="3"/>
      <c r="AJ29" s="52"/>
    </row>
    <row r="30" spans="1:36" s="159" customFormat="1" ht="15">
      <c r="A30" s="175"/>
      <c r="B30" s="176"/>
      <c r="C30" s="176"/>
      <c r="D30" s="177"/>
      <c r="E30" s="40"/>
      <c r="F30" s="40"/>
      <c r="G30" s="40"/>
      <c r="H30" s="41"/>
      <c r="I30" s="42" t="str">
        <f>IFERROR(IF(ISBLANK(H59),"",H59),0)</f>
        <v/>
      </c>
      <c r="J30" s="43">
        <f t="shared" ref="J30" si="3">IFERROR(IF(OR(ISBLANK(E30),ISBLANK(F30),ISBLANK(G30)),(I30*E30)+(I30*F30)+(I30*G30)),0)</f>
        <v>0</v>
      </c>
      <c r="M30" s="3"/>
      <c r="N30" s="3"/>
      <c r="O30" s="3"/>
      <c r="P30" s="3"/>
      <c r="Q30" s="3"/>
      <c r="R30" s="3"/>
      <c r="S30"/>
      <c r="T30" s="3"/>
      <c r="U30" s="3"/>
      <c r="V30" s="3"/>
      <c r="W30"/>
      <c r="X30" s="3"/>
      <c r="Y30" s="54"/>
      <c r="Z30" s="60"/>
      <c r="AA30" s="61"/>
      <c r="AB30"/>
      <c r="AC30" s="3"/>
      <c r="AH30" s="58"/>
      <c r="AI30" s="3"/>
      <c r="AJ30" s="52"/>
    </row>
    <row r="31" spans="1:36" s="159" customFormat="1" ht="15">
      <c r="A31" s="175"/>
      <c r="B31" s="176"/>
      <c r="C31" s="176"/>
      <c r="D31" s="177"/>
      <c r="E31" s="40"/>
      <c r="F31" s="40"/>
      <c r="G31" s="40"/>
      <c r="H31" s="41"/>
      <c r="I31" s="42" t="str">
        <f>IFERROR(IF(ISBLANK(H60),"",H60),0)</f>
        <v/>
      </c>
      <c r="J31" s="43">
        <f t="shared" ref="J31" si="4">IFERROR(IF(OR(ISBLANK(E31),ISBLANK(F31),ISBLANK(G31)),(I31*E31)+(I31*F31)+(I31*G31)),0)</f>
        <v>0</v>
      </c>
      <c r="M31" s="3"/>
      <c r="N31" s="3"/>
      <c r="O31" s="3"/>
      <c r="P31" s="3"/>
      <c r="Q31" s="3"/>
      <c r="R31" s="3"/>
      <c r="S31"/>
      <c r="T31" s="3"/>
      <c r="U31" s="3"/>
      <c r="V31" s="3"/>
      <c r="W31"/>
      <c r="X31" s="3"/>
      <c r="Y31" s="54"/>
      <c r="Z31" s="60"/>
      <c r="AA31" s="61"/>
      <c r="AB31"/>
      <c r="AC31" s="3"/>
      <c r="AH31" s="58"/>
      <c r="AI31" s="3"/>
      <c r="AJ31" s="52"/>
    </row>
    <row r="32" spans="1:36" ht="15">
      <c r="A32" s="181" t="s">
        <v>107</v>
      </c>
      <c r="B32" s="182"/>
      <c r="C32" s="182"/>
      <c r="D32" s="182"/>
      <c r="E32" s="182"/>
      <c r="F32" s="182"/>
      <c r="G32" s="182"/>
      <c r="H32" s="183"/>
      <c r="I32" s="62">
        <f>$F$7</f>
        <v>0</v>
      </c>
      <c r="J32" s="43">
        <f>I32</f>
        <v>0</v>
      </c>
      <c r="M32" s="3"/>
      <c r="N32" s="3"/>
      <c r="O32" s="3"/>
      <c r="P32" s="3"/>
      <c r="Q32" s="3"/>
      <c r="R32" s="3"/>
      <c r="T32" s="3"/>
      <c r="U32" s="3"/>
      <c r="V32" s="3"/>
      <c r="X32" s="3"/>
      <c r="Y32" s="54" t="s">
        <v>108</v>
      </c>
      <c r="Z32" s="60">
        <v>0.25</v>
      </c>
      <c r="AA32" s="61">
        <v>0.36</v>
      </c>
      <c r="AB32" t="s">
        <v>109</v>
      </c>
      <c r="AC32" s="3"/>
      <c r="AD32" s="3"/>
      <c r="AE32" s="3"/>
      <c r="AF32" s="63"/>
      <c r="AH32" s="64"/>
      <c r="AJ32" s="65"/>
    </row>
    <row r="33" spans="1:36" ht="15">
      <c r="A33" s="178"/>
      <c r="B33" s="179"/>
      <c r="C33" s="180"/>
      <c r="D33" s="3"/>
      <c r="E33" s="197" t="s">
        <v>110</v>
      </c>
      <c r="F33" s="198"/>
      <c r="G33" s="198"/>
      <c r="H33" s="198"/>
      <c r="I33" s="199"/>
      <c r="J33" s="67">
        <f ca="1">SUM(J13:J32)</f>
        <v>0</v>
      </c>
      <c r="M33" s="3"/>
      <c r="N33" s="3"/>
      <c r="O33" s="3"/>
      <c r="P33" s="3"/>
      <c r="Q33" s="3"/>
      <c r="R33" s="3"/>
      <c r="T33" s="3"/>
      <c r="U33" s="3"/>
      <c r="V33" s="3"/>
      <c r="X33" s="3"/>
      <c r="Y33" s="54" t="s">
        <v>111</v>
      </c>
      <c r="Z33" s="60">
        <v>0.25</v>
      </c>
      <c r="AA33" s="61">
        <v>0.35</v>
      </c>
      <c r="AB33" t="s">
        <v>112</v>
      </c>
      <c r="AC33" s="3"/>
      <c r="AD33" s="3"/>
      <c r="AE33" s="3"/>
      <c r="AF33" s="68"/>
      <c r="AJ33" s="65"/>
    </row>
    <row r="34" spans="1:36" ht="15">
      <c r="A34" s="3"/>
      <c r="B34" s="3"/>
      <c r="C34" s="3"/>
      <c r="D34" s="3"/>
      <c r="E34" s="3"/>
      <c r="F34" s="3"/>
      <c r="G34" s="3"/>
      <c r="H34" s="3"/>
      <c r="I34" s="3"/>
      <c r="J34" s="3"/>
      <c r="M34" s="3"/>
      <c r="N34" s="3"/>
      <c r="O34" s="3"/>
      <c r="P34" s="3"/>
      <c r="Q34" s="3"/>
      <c r="R34" s="3"/>
      <c r="T34" s="3"/>
      <c r="U34" s="3"/>
      <c r="V34" s="3"/>
      <c r="X34" s="3"/>
      <c r="Y34" s="54" t="s">
        <v>113</v>
      </c>
      <c r="Z34" s="60">
        <v>0.24</v>
      </c>
      <c r="AA34" s="61">
        <v>0.34</v>
      </c>
      <c r="AB34" t="s">
        <v>114</v>
      </c>
      <c r="AC34" s="3"/>
      <c r="AD34" s="3"/>
      <c r="AE34" s="3"/>
      <c r="AF34" s="68"/>
    </row>
    <row r="35" spans="1:36" ht="15.75" customHeight="1">
      <c r="Y35" s="54" t="s">
        <v>115</v>
      </c>
      <c r="Z35" s="60">
        <v>0.2</v>
      </c>
      <c r="AA35" s="61">
        <v>0.3</v>
      </c>
      <c r="AB35" t="s">
        <v>116</v>
      </c>
      <c r="AF35" s="68"/>
    </row>
    <row r="36" spans="1:36" ht="15.75" customHeight="1">
      <c r="Y36" s="54" t="s">
        <v>117</v>
      </c>
      <c r="Z36" s="60">
        <v>0.22</v>
      </c>
      <c r="AA36" s="61">
        <v>0.32</v>
      </c>
      <c r="AB36" t="s">
        <v>118</v>
      </c>
      <c r="AF36" s="68"/>
    </row>
    <row r="37" spans="1:36" ht="15.75" customHeight="1">
      <c r="A37"/>
      <c r="B37"/>
      <c r="Y37" s="54" t="s">
        <v>119</v>
      </c>
      <c r="Z37" s="60">
        <v>0.26</v>
      </c>
      <c r="AA37" s="61">
        <v>0.36</v>
      </c>
      <c r="AB37" t="s">
        <v>120</v>
      </c>
      <c r="AF37" s="68"/>
    </row>
    <row r="38" spans="1:36" ht="15.75" customHeight="1">
      <c r="A38" s="69" t="s">
        <v>121</v>
      </c>
      <c r="B38" s="71"/>
      <c r="C38" s="69" t="s">
        <v>122</v>
      </c>
      <c r="D38" s="71"/>
      <c r="E38" s="69" t="s">
        <v>123</v>
      </c>
      <c r="F38" s="72">
        <f>B38*60+D38</f>
        <v>0</v>
      </c>
      <c r="Y38" s="54" t="s">
        <v>124</v>
      </c>
      <c r="Z38" s="60">
        <v>0.25</v>
      </c>
      <c r="AA38" s="61">
        <v>0.35</v>
      </c>
      <c r="AB38" t="s">
        <v>125</v>
      </c>
      <c r="AF38" s="68"/>
    </row>
    <row r="39" spans="1:36" ht="15.75" customHeight="1">
      <c r="C39" s="69"/>
      <c r="Y39" s="54" t="s">
        <v>126</v>
      </c>
      <c r="Z39" s="60">
        <v>0.18</v>
      </c>
      <c r="AA39" s="61">
        <v>0.28000000000000003</v>
      </c>
      <c r="AB39" t="s">
        <v>127</v>
      </c>
      <c r="AF39" s="68"/>
    </row>
    <row r="40" spans="1:36" ht="15.75" customHeight="1">
      <c r="A40" s="69" t="s">
        <v>128</v>
      </c>
      <c r="B40" s="73">
        <v>17</v>
      </c>
      <c r="C40" s="69" t="s">
        <v>129</v>
      </c>
      <c r="D40" s="69" t="s">
        <v>130</v>
      </c>
      <c r="E40" s="74">
        <f>$F$38</f>
        <v>0</v>
      </c>
      <c r="F40" s="69" t="s">
        <v>122</v>
      </c>
      <c r="G40" s="69" t="s">
        <v>131</v>
      </c>
      <c r="H40" s="75">
        <f>($E$40/60)*B40</f>
        <v>0</v>
      </c>
      <c r="Y40" s="54" t="s">
        <v>132</v>
      </c>
      <c r="Z40" s="60">
        <v>0.2</v>
      </c>
      <c r="AA40" s="61">
        <v>0.3</v>
      </c>
      <c r="AB40" t="s">
        <v>133</v>
      </c>
      <c r="AF40" s="68"/>
    </row>
    <row r="41" spans="1:36">
      <c r="A41" s="172" t="str">
        <f>A12</f>
        <v>INGREDIENTS</v>
      </c>
      <c r="B41" s="173"/>
      <c r="C41" s="76" t="s">
        <v>134</v>
      </c>
      <c r="D41" s="77" t="s">
        <v>135</v>
      </c>
      <c r="E41" s="76" t="s">
        <v>65</v>
      </c>
      <c r="F41" s="76" t="s">
        <v>136</v>
      </c>
      <c r="G41" s="76" t="s">
        <v>65</v>
      </c>
      <c r="H41" s="77" t="s">
        <v>137</v>
      </c>
      <c r="I41" s="76" t="s">
        <v>138</v>
      </c>
      <c r="J41" s="76" t="s">
        <v>139</v>
      </c>
      <c r="K41" s="76" t="s">
        <v>65</v>
      </c>
      <c r="Y41" s="54" t="s">
        <v>140</v>
      </c>
      <c r="Z41" s="60">
        <v>0.25</v>
      </c>
      <c r="AA41" s="61">
        <v>0.38</v>
      </c>
      <c r="AB41" t="s">
        <v>141</v>
      </c>
      <c r="AF41" s="68"/>
    </row>
    <row r="42" spans="1:36" ht="15.75" customHeight="1">
      <c r="A42" s="174" t="str">
        <f>IF(ISBLANK($A13),"",$A13)</f>
        <v/>
      </c>
      <c r="B42" s="174"/>
      <c r="C42" s="78"/>
      <c r="D42" s="79"/>
      <c r="E42" s="80"/>
      <c r="F42" s="81" t="str">
        <f ca="1">IFERROR(CulinaryConvert(D42,E42,K42,A42),"")</f>
        <v/>
      </c>
      <c r="G42" s="80" t="str">
        <f t="shared" ref="G42" si="5">IF(K42="","",K42)</f>
        <v/>
      </c>
      <c r="H42" s="82" t="str">
        <f ca="1">IFERROR(IF(OR(C42="",F42="",F42=0),"",C42/F42),"")</f>
        <v/>
      </c>
      <c r="I42" s="83" t="str">
        <f>IF(COUNTA(E13:G13)=0,"",SUM(E13:G13))</f>
        <v/>
      </c>
      <c r="J42" s="84" t="str">
        <f t="shared" ref="J42" ca="1" si="6">IFERROR(IF(OR(I42="",H42=""),"",I42*H42),"")</f>
        <v/>
      </c>
      <c r="K42" s="70" t="str">
        <f>IF(ISBLANK(H13),"",H13)</f>
        <v/>
      </c>
      <c r="AF42" s="68"/>
    </row>
    <row r="43" spans="1:36" ht="15.75" customHeight="1">
      <c r="A43" s="174" t="str">
        <f t="shared" ref="A43:A54" si="7">IF(ISBLANK($A14),"",$A14)</f>
        <v/>
      </c>
      <c r="B43" s="174"/>
      <c r="C43" s="78"/>
      <c r="D43" s="79"/>
      <c r="E43" s="80"/>
      <c r="F43" s="81" t="str">
        <f ca="1">IFERROR(CulinaryConvert(D43,E43,K43,A43),"")</f>
        <v/>
      </c>
      <c r="G43" s="80" t="str">
        <f t="shared" ref="G43:G54" si="8">IF(K43="","",K43)</f>
        <v/>
      </c>
      <c r="H43" s="82" t="str">
        <f t="shared" ref="H43:H54" ca="1" si="9">IFERROR(IF(OR(C43="",F43="",F43=0),"",C43/F43),"")</f>
        <v/>
      </c>
      <c r="I43" s="83" t="str">
        <f t="shared" ref="I43:I54" si="10">IF(COUNTA(E14:G14)=0,"",SUM(E14:G14))</f>
        <v/>
      </c>
      <c r="J43" s="84" t="str">
        <f t="shared" ref="J43:J54" ca="1" si="11">IFERROR(IF(OR(I43="",H43=""),"",I43*H43),"")</f>
        <v/>
      </c>
      <c r="K43" s="70" t="str">
        <f t="shared" ref="K43:K54" si="12">IF(ISBLANK(H14),"",H14)</f>
        <v/>
      </c>
      <c r="AF43" s="68"/>
    </row>
    <row r="44" spans="1:36" ht="15.75" customHeight="1">
      <c r="A44" s="174" t="str">
        <f t="shared" si="7"/>
        <v/>
      </c>
      <c r="B44" s="174"/>
      <c r="C44" s="78"/>
      <c r="D44" s="79"/>
      <c r="E44" s="80"/>
      <c r="F44" s="81" t="str">
        <f ca="1">IFERROR(CulinaryConvert(D44,E44,K44,A44),"")</f>
        <v/>
      </c>
      <c r="G44" s="80" t="str">
        <f t="shared" si="8"/>
        <v/>
      </c>
      <c r="H44" s="82" t="str">
        <f t="shared" ca="1" si="9"/>
        <v/>
      </c>
      <c r="I44" s="83" t="str">
        <f t="shared" si="10"/>
        <v/>
      </c>
      <c r="J44" s="84" t="str">
        <f t="shared" ca="1" si="11"/>
        <v/>
      </c>
      <c r="K44" s="70" t="str">
        <f t="shared" si="12"/>
        <v/>
      </c>
      <c r="AF44" s="68"/>
    </row>
    <row r="45" spans="1:36" ht="15.75" customHeight="1">
      <c r="A45" s="174" t="str">
        <f t="shared" si="7"/>
        <v/>
      </c>
      <c r="B45" s="174"/>
      <c r="C45" s="78"/>
      <c r="D45" s="79"/>
      <c r="E45" s="80"/>
      <c r="F45" s="81" t="str">
        <f ca="1">IFERROR(CulinaryConvert(D45,E45,K45,A45),"")</f>
        <v/>
      </c>
      <c r="G45" s="80" t="str">
        <f t="shared" si="8"/>
        <v/>
      </c>
      <c r="H45" s="82" t="str">
        <f t="shared" ca="1" si="9"/>
        <v/>
      </c>
      <c r="I45" s="83" t="str">
        <f t="shared" si="10"/>
        <v/>
      </c>
      <c r="J45" s="84" t="str">
        <f t="shared" ca="1" si="11"/>
        <v/>
      </c>
      <c r="K45" s="70" t="str">
        <f t="shared" si="12"/>
        <v/>
      </c>
      <c r="L45"/>
      <c r="AF45" s="68"/>
    </row>
    <row r="46" spans="1:36" ht="15.75" customHeight="1">
      <c r="A46" s="174" t="str">
        <f t="shared" si="7"/>
        <v/>
      </c>
      <c r="B46" s="174"/>
      <c r="C46" s="78"/>
      <c r="D46" s="79"/>
      <c r="E46" s="80"/>
      <c r="F46" s="81" t="str">
        <f ca="1">IFERROR(CulinaryConvert(D46,E46,K46,A46),"")</f>
        <v/>
      </c>
      <c r="G46" s="80" t="str">
        <f t="shared" si="8"/>
        <v/>
      </c>
      <c r="H46" s="82" t="str">
        <f t="shared" ca="1" si="9"/>
        <v/>
      </c>
      <c r="I46" s="83" t="str">
        <f t="shared" si="10"/>
        <v/>
      </c>
      <c r="J46" s="84" t="str">
        <f t="shared" ca="1" si="11"/>
        <v/>
      </c>
      <c r="K46" s="70" t="str">
        <f t="shared" si="12"/>
        <v/>
      </c>
      <c r="L46"/>
      <c r="AF46" s="68"/>
    </row>
    <row r="47" spans="1:36" ht="15.75" customHeight="1">
      <c r="A47" s="174" t="str">
        <f t="shared" si="7"/>
        <v/>
      </c>
      <c r="B47" s="174"/>
      <c r="C47" s="78"/>
      <c r="D47" s="79"/>
      <c r="E47" s="80"/>
      <c r="F47" s="81" t="str">
        <f ca="1">IFERROR(CulinaryConvert(D47,E47,K47,A47),"")</f>
        <v/>
      </c>
      <c r="G47" s="80" t="str">
        <f t="shared" si="8"/>
        <v/>
      </c>
      <c r="H47" s="82" t="str">
        <f t="shared" ca="1" si="9"/>
        <v/>
      </c>
      <c r="I47" s="83" t="str">
        <f t="shared" si="10"/>
        <v/>
      </c>
      <c r="J47" s="84" t="str">
        <f t="shared" ca="1" si="11"/>
        <v/>
      </c>
      <c r="K47" s="70" t="str">
        <f t="shared" si="12"/>
        <v/>
      </c>
      <c r="L47"/>
      <c r="AF47" s="68"/>
    </row>
    <row r="48" spans="1:36" ht="15.75" customHeight="1">
      <c r="A48" s="174" t="str">
        <f t="shared" si="7"/>
        <v/>
      </c>
      <c r="B48" s="174"/>
      <c r="C48" s="78"/>
      <c r="D48" s="79"/>
      <c r="E48" s="80"/>
      <c r="F48" s="81" t="str">
        <f ca="1">IFERROR(CulinaryConvert(D48,E48,K48,A48),"")</f>
        <v/>
      </c>
      <c r="G48" s="80" t="str">
        <f t="shared" si="8"/>
        <v/>
      </c>
      <c r="H48" s="82" t="str">
        <f t="shared" ca="1" si="9"/>
        <v/>
      </c>
      <c r="I48" s="83" t="str">
        <f t="shared" si="10"/>
        <v/>
      </c>
      <c r="J48" s="84" t="str">
        <f t="shared" ca="1" si="11"/>
        <v/>
      </c>
      <c r="K48" s="70" t="str">
        <f t="shared" si="12"/>
        <v/>
      </c>
      <c r="L48"/>
      <c r="AF48" s="68"/>
    </row>
    <row r="49" spans="1:36" ht="15.75" customHeight="1">
      <c r="A49" s="174" t="str">
        <f t="shared" si="7"/>
        <v/>
      </c>
      <c r="B49" s="174"/>
      <c r="C49" s="78"/>
      <c r="D49" s="79"/>
      <c r="E49" s="80"/>
      <c r="F49" s="81" t="str">
        <f ca="1">IFERROR(CulinaryConvert(D49,E49,K49,A49),"")</f>
        <v/>
      </c>
      <c r="G49" s="80" t="str">
        <f t="shared" si="8"/>
        <v/>
      </c>
      <c r="H49" s="82" t="str">
        <f t="shared" ca="1" si="9"/>
        <v/>
      </c>
      <c r="I49" s="83" t="str">
        <f t="shared" si="10"/>
        <v/>
      </c>
      <c r="J49" s="84" t="str">
        <f t="shared" ca="1" si="11"/>
        <v/>
      </c>
      <c r="K49" s="70" t="str">
        <f t="shared" si="12"/>
        <v/>
      </c>
      <c r="L49"/>
    </row>
    <row r="50" spans="1:36" ht="15.75" customHeight="1">
      <c r="A50" s="174" t="str">
        <f t="shared" si="7"/>
        <v/>
      </c>
      <c r="B50" s="174"/>
      <c r="C50" s="78"/>
      <c r="D50" s="79"/>
      <c r="E50" s="80"/>
      <c r="F50" s="81" t="str">
        <f ca="1">IFERROR(CulinaryConvert(D50,E50,K50,A50),"")</f>
        <v/>
      </c>
      <c r="G50" s="80" t="str">
        <f t="shared" si="8"/>
        <v/>
      </c>
      <c r="H50" s="82" t="str">
        <f t="shared" ca="1" si="9"/>
        <v/>
      </c>
      <c r="I50" s="83" t="str">
        <f t="shared" si="10"/>
        <v/>
      </c>
      <c r="J50" s="84" t="str">
        <f t="shared" ca="1" si="11"/>
        <v/>
      </c>
      <c r="K50" s="70" t="str">
        <f t="shared" si="12"/>
        <v/>
      </c>
      <c r="L50"/>
    </row>
    <row r="51" spans="1:36" ht="15.75" customHeight="1">
      <c r="A51" s="174" t="str">
        <f t="shared" si="7"/>
        <v/>
      </c>
      <c r="B51" s="174"/>
      <c r="C51" s="78"/>
      <c r="D51" s="79"/>
      <c r="E51" s="80"/>
      <c r="F51" s="81" t="str">
        <f ca="1">IFERROR(CulinaryConvert(D51,E51,K51,A51),"")</f>
        <v/>
      </c>
      <c r="G51" s="80" t="str">
        <f t="shared" si="8"/>
        <v/>
      </c>
      <c r="H51" s="82" t="str">
        <f t="shared" ca="1" si="9"/>
        <v/>
      </c>
      <c r="I51" s="83" t="str">
        <f t="shared" si="10"/>
        <v/>
      </c>
      <c r="J51" s="84" t="str">
        <f t="shared" ca="1" si="11"/>
        <v/>
      </c>
      <c r="K51" s="70" t="str">
        <f t="shared" si="12"/>
        <v/>
      </c>
      <c r="L51"/>
    </row>
    <row r="52" spans="1:36" ht="15.75" customHeight="1">
      <c r="A52" s="174" t="str">
        <f t="shared" si="7"/>
        <v/>
      </c>
      <c r="B52" s="174"/>
      <c r="C52" s="78"/>
      <c r="D52" s="79"/>
      <c r="E52" s="80"/>
      <c r="F52" s="81" t="str">
        <f ca="1">IFERROR(CulinaryConvert(D52,E52,K52,A52),"")</f>
        <v/>
      </c>
      <c r="G52" s="80" t="str">
        <f t="shared" si="8"/>
        <v/>
      </c>
      <c r="H52" s="82" t="str">
        <f t="shared" ca="1" si="9"/>
        <v/>
      </c>
      <c r="I52" s="83" t="str">
        <f t="shared" si="10"/>
        <v/>
      </c>
      <c r="J52" s="84" t="str">
        <f t="shared" ca="1" si="11"/>
        <v/>
      </c>
      <c r="K52" s="70" t="str">
        <f t="shared" si="12"/>
        <v/>
      </c>
      <c r="L52"/>
    </row>
    <row r="53" spans="1:36" ht="15.75" customHeight="1">
      <c r="A53" s="174" t="str">
        <f t="shared" si="7"/>
        <v/>
      </c>
      <c r="B53" s="174"/>
      <c r="C53" s="78"/>
      <c r="D53" s="79"/>
      <c r="E53" s="80"/>
      <c r="F53" s="81" t="str">
        <f ca="1">IFERROR(CulinaryConvert(D53,E53,K53,A53),"")</f>
        <v/>
      </c>
      <c r="G53" s="80" t="str">
        <f t="shared" si="8"/>
        <v/>
      </c>
      <c r="H53" s="82" t="str">
        <f t="shared" ca="1" si="9"/>
        <v/>
      </c>
      <c r="I53" s="83" t="str">
        <f t="shared" si="10"/>
        <v/>
      </c>
      <c r="J53" s="84" t="str">
        <f t="shared" ca="1" si="11"/>
        <v/>
      </c>
      <c r="K53" s="70" t="str">
        <f t="shared" si="12"/>
        <v/>
      </c>
      <c r="L53"/>
    </row>
    <row r="54" spans="1:36" ht="15.75" customHeight="1">
      <c r="A54" s="174" t="str">
        <f t="shared" si="7"/>
        <v/>
      </c>
      <c r="B54" s="174"/>
      <c r="C54" s="78"/>
      <c r="D54" s="79"/>
      <c r="E54" s="80"/>
      <c r="F54" s="81" t="str">
        <f ca="1">IFERROR(CulinaryConvert(D54,E54,K54,A54),"")</f>
        <v/>
      </c>
      <c r="G54" s="80" t="str">
        <f t="shared" si="8"/>
        <v/>
      </c>
      <c r="H54" s="82" t="str">
        <f t="shared" ca="1" si="9"/>
        <v/>
      </c>
      <c r="I54" s="83" t="str">
        <f t="shared" si="10"/>
        <v/>
      </c>
      <c r="J54" s="84" t="str">
        <f t="shared" ca="1" si="11"/>
        <v/>
      </c>
      <c r="K54" s="70" t="str">
        <f t="shared" si="12"/>
        <v/>
      </c>
      <c r="L54"/>
    </row>
    <row r="55" spans="1:36" ht="15.75" customHeight="1">
      <c r="A55"/>
      <c r="B55"/>
      <c r="C55"/>
      <c r="D55"/>
      <c r="E55"/>
      <c r="F55"/>
      <c r="G55"/>
      <c r="H55"/>
      <c r="I55"/>
      <c r="J55"/>
      <c r="K55"/>
      <c r="L55"/>
    </row>
    <row r="56" spans="1:36" ht="15.75" customHeight="1">
      <c r="A56"/>
      <c r="B56"/>
      <c r="C56"/>
      <c r="D56"/>
      <c r="E56"/>
      <c r="F56"/>
      <c r="G56"/>
      <c r="H56"/>
      <c r="I56"/>
      <c r="J56"/>
      <c r="K56"/>
      <c r="L56"/>
    </row>
    <row r="57" spans="1:36" ht="15.75" customHeight="1">
      <c r="A57"/>
      <c r="B57"/>
      <c r="C57"/>
      <c r="D57"/>
      <c r="E57"/>
      <c r="F57"/>
      <c r="G57"/>
      <c r="H57"/>
      <c r="I57"/>
      <c r="J57"/>
      <c r="K57"/>
      <c r="L57"/>
    </row>
    <row r="58" spans="1:36" s="159" customFormat="1" ht="15.75" customHeight="1">
      <c r="A58"/>
      <c r="B58"/>
      <c r="C58"/>
      <c r="D58"/>
      <c r="E58"/>
      <c r="F58"/>
      <c r="G58"/>
      <c r="H58"/>
      <c r="I58"/>
      <c r="J58"/>
      <c r="K58"/>
      <c r="L58"/>
      <c r="S58"/>
      <c r="W58"/>
      <c r="AF58" s="68"/>
    </row>
    <row r="59" spans="1:36" s="158" customFormat="1" ht="15.75" customHeight="1">
      <c r="A59"/>
      <c r="B59"/>
      <c r="C59"/>
      <c r="D59"/>
      <c r="E59"/>
      <c r="F59"/>
      <c r="G59"/>
      <c r="H59"/>
      <c r="I59"/>
      <c r="J59"/>
      <c r="K59"/>
      <c r="L59"/>
      <c r="M59" s="3"/>
      <c r="N59" s="3"/>
      <c r="O59" s="3"/>
      <c r="P59" s="3"/>
      <c r="Q59" s="3"/>
      <c r="R59" s="3"/>
      <c r="S59"/>
      <c r="T59" s="3"/>
      <c r="U59" s="3"/>
      <c r="V59" s="3"/>
      <c r="W59"/>
      <c r="X59" s="3"/>
      <c r="Y59" s="54" t="s">
        <v>111</v>
      </c>
      <c r="Z59" s="60">
        <v>0.25</v>
      </c>
      <c r="AA59" s="61">
        <v>0.35</v>
      </c>
      <c r="AB59" t="s">
        <v>112</v>
      </c>
      <c r="AC59" s="3"/>
      <c r="AD59" s="3"/>
      <c r="AE59" s="3"/>
      <c r="AF59" s="68"/>
      <c r="AJ59" s="65"/>
    </row>
    <row r="60" spans="1:36" s="158" customFormat="1" ht="15.75" customHeight="1">
      <c r="A60"/>
      <c r="B60"/>
      <c r="C60"/>
      <c r="D60"/>
      <c r="E60"/>
      <c r="F60"/>
      <c r="G60"/>
      <c r="H60"/>
      <c r="I60"/>
      <c r="J60"/>
      <c r="K60"/>
      <c r="L60"/>
      <c r="M60" s="3"/>
      <c r="N60" s="3"/>
      <c r="O60" s="3"/>
      <c r="P60" s="3"/>
      <c r="Q60" s="3"/>
      <c r="R60" s="3"/>
      <c r="S60"/>
      <c r="T60" s="3"/>
      <c r="U60" s="3"/>
      <c r="V60" s="3"/>
      <c r="W60"/>
      <c r="X60" s="3"/>
      <c r="Y60" s="54" t="s">
        <v>113</v>
      </c>
      <c r="Z60" s="60">
        <v>0.24</v>
      </c>
      <c r="AA60" s="61">
        <v>0.34</v>
      </c>
      <c r="AB60" t="s">
        <v>114</v>
      </c>
      <c r="AC60" s="3"/>
      <c r="AD60" s="3"/>
      <c r="AE60" s="3"/>
      <c r="AF60" s="68"/>
    </row>
    <row r="61" spans="1:36" s="157" customFormat="1" ht="15.75" customHeight="1">
      <c r="A61"/>
      <c r="B61"/>
      <c r="C61"/>
      <c r="D61"/>
      <c r="E61"/>
      <c r="F61"/>
      <c r="G61"/>
      <c r="H61"/>
      <c r="I61"/>
      <c r="J61"/>
      <c r="K61"/>
      <c r="L61"/>
      <c r="S61"/>
      <c r="W61"/>
      <c r="Y61" s="54"/>
      <c r="Z61" s="60"/>
      <c r="AA61" s="61"/>
      <c r="AB61"/>
      <c r="AF61" s="68"/>
    </row>
    <row r="62" spans="1:36" s="157" customFormat="1" ht="15.75" customHeight="1">
      <c r="A62"/>
      <c r="B62"/>
      <c r="C62"/>
      <c r="D62"/>
      <c r="E62"/>
      <c r="F62"/>
      <c r="G62"/>
      <c r="H62"/>
      <c r="I62"/>
      <c r="J62"/>
      <c r="K62"/>
      <c r="L62"/>
      <c r="S62"/>
      <c r="W62"/>
      <c r="Y62" s="54"/>
      <c r="Z62" s="60"/>
      <c r="AA62" s="61"/>
      <c r="AB62"/>
      <c r="AF62" s="68"/>
    </row>
    <row r="63" spans="1:36" s="157" customFormat="1" ht="15.75" customHeight="1">
      <c r="A63"/>
      <c r="B63"/>
      <c r="C63"/>
      <c r="D63"/>
      <c r="E63"/>
      <c r="F63"/>
      <c r="G63"/>
      <c r="H63"/>
      <c r="I63"/>
      <c r="J63"/>
      <c r="K63"/>
      <c r="L63"/>
      <c r="S63"/>
      <c r="W63"/>
      <c r="Y63" s="54"/>
      <c r="Z63" s="60"/>
      <c r="AA63" s="61"/>
      <c r="AB63"/>
      <c r="AF63" s="68"/>
    </row>
    <row r="64" spans="1:36" s="157" customFormat="1" ht="15.75" customHeight="1">
      <c r="A64"/>
      <c r="B64"/>
      <c r="C64"/>
      <c r="D64"/>
      <c r="E64"/>
      <c r="F64"/>
      <c r="G64"/>
      <c r="H64"/>
      <c r="I64"/>
      <c r="J64"/>
      <c r="K64"/>
      <c r="L64"/>
      <c r="S64"/>
      <c r="W64"/>
      <c r="Y64" s="54"/>
      <c r="Z64" s="60"/>
      <c r="AA64" s="61"/>
      <c r="AB64"/>
      <c r="AF64" s="68"/>
    </row>
    <row r="65" spans="1:32" s="157" customFormat="1" ht="15.75" customHeight="1">
      <c r="A65"/>
      <c r="B65"/>
      <c r="C65"/>
      <c r="D65"/>
      <c r="E65"/>
      <c r="F65"/>
      <c r="G65"/>
      <c r="H65"/>
      <c r="I65"/>
      <c r="J65"/>
      <c r="K65"/>
      <c r="L65"/>
      <c r="S65"/>
      <c r="W65"/>
      <c r="Y65" s="54"/>
      <c r="Z65" s="60"/>
      <c r="AA65" s="61"/>
      <c r="AB65"/>
      <c r="AF65" s="68"/>
    </row>
    <row r="66" spans="1:32" s="157" customFormat="1" ht="15.75" customHeight="1">
      <c r="A66"/>
      <c r="B66"/>
      <c r="C66"/>
      <c r="D66"/>
      <c r="E66"/>
      <c r="F66"/>
      <c r="G66"/>
      <c r="H66"/>
      <c r="I66"/>
      <c r="J66"/>
      <c r="K66"/>
      <c r="L66"/>
      <c r="S66"/>
      <c r="W66"/>
      <c r="Y66" s="54"/>
      <c r="Z66" s="60"/>
      <c r="AA66" s="61"/>
      <c r="AB66"/>
      <c r="AF66" s="68"/>
    </row>
    <row r="67" spans="1:32" s="157" customFormat="1" ht="15.75" customHeight="1">
      <c r="A67"/>
      <c r="B67"/>
      <c r="C67"/>
      <c r="D67"/>
      <c r="E67"/>
      <c r="F67"/>
      <c r="G67"/>
      <c r="H67"/>
      <c r="I67"/>
      <c r="J67"/>
      <c r="K67"/>
      <c r="L67"/>
      <c r="S67"/>
      <c r="W67"/>
      <c r="Y67" s="54"/>
      <c r="Z67" s="60"/>
      <c r="AA67" s="61"/>
      <c r="AB67"/>
      <c r="AF67" s="68"/>
    </row>
    <row r="68" spans="1:32" s="157" customFormat="1" ht="15.75" customHeight="1">
      <c r="A68"/>
      <c r="B68"/>
      <c r="C68"/>
      <c r="D68"/>
      <c r="E68"/>
      <c r="F68"/>
      <c r="G68"/>
      <c r="H68"/>
      <c r="I68"/>
      <c r="J68"/>
      <c r="K68"/>
      <c r="L68"/>
      <c r="S68"/>
      <c r="W68"/>
      <c r="AF68" s="68"/>
    </row>
    <row r="69" spans="1:32" ht="15.75" customHeight="1">
      <c r="A69"/>
      <c r="B69"/>
      <c r="C69"/>
      <c r="D69"/>
      <c r="E69"/>
      <c r="F69"/>
      <c r="G69"/>
      <c r="H69"/>
      <c r="I69"/>
      <c r="J69"/>
      <c r="K69"/>
      <c r="L69"/>
    </row>
    <row r="70" spans="1:32" ht="15.75" customHeight="1">
      <c r="A70"/>
      <c r="B70"/>
      <c r="C70"/>
      <c r="D70"/>
      <c r="E70"/>
      <c r="F70"/>
      <c r="G70"/>
      <c r="H70"/>
      <c r="I70"/>
      <c r="J70"/>
      <c r="K70"/>
      <c r="L70"/>
    </row>
    <row r="71" spans="1:32" ht="15.75" customHeight="1">
      <c r="A71"/>
      <c r="B71"/>
      <c r="C71"/>
      <c r="D71"/>
      <c r="E71"/>
      <c r="F71"/>
      <c r="G71"/>
      <c r="H71"/>
      <c r="I71"/>
      <c r="J71"/>
      <c r="K71"/>
      <c r="L71"/>
    </row>
    <row r="72" spans="1:32" ht="15.75" customHeight="1">
      <c r="A72"/>
      <c r="B72"/>
      <c r="C72"/>
      <c r="D72"/>
      <c r="E72"/>
      <c r="F72"/>
      <c r="G72"/>
      <c r="H72"/>
      <c r="I72"/>
      <c r="J72"/>
      <c r="K72"/>
      <c r="L72"/>
    </row>
    <row r="73" spans="1:32" ht="15.75" customHeight="1">
      <c r="C73" s="85"/>
      <c r="D73" s="85"/>
      <c r="E73" s="85"/>
      <c r="F73" s="85"/>
      <c r="G73" s="85"/>
      <c r="H73" s="85"/>
      <c r="I73" s="85"/>
      <c r="J73" s="85"/>
    </row>
    <row r="74" spans="1:32" ht="15.75" customHeight="1">
      <c r="C74" s="85"/>
      <c r="D74" s="85"/>
      <c r="E74" s="85"/>
      <c r="F74" s="85"/>
      <c r="G74" s="85"/>
      <c r="H74" s="85"/>
      <c r="I74" s="85"/>
      <c r="J74" s="85"/>
    </row>
    <row r="75" spans="1:32" ht="15.75" customHeight="1">
      <c r="C75" s="85"/>
      <c r="D75" s="85"/>
      <c r="E75" s="85"/>
      <c r="F75" s="85"/>
      <c r="G75" s="85"/>
      <c r="H75" s="85"/>
      <c r="I75" s="85"/>
      <c r="J75" s="85"/>
    </row>
    <row r="76" spans="1:32" ht="15.75" customHeight="1">
      <c r="C76" s="85"/>
      <c r="D76" s="85"/>
      <c r="E76" s="85"/>
      <c r="F76" s="85"/>
      <c r="G76" s="85"/>
      <c r="H76" s="85"/>
      <c r="I76" s="85"/>
      <c r="J76" s="85"/>
    </row>
    <row r="77" spans="1:32" ht="15.75" customHeight="1">
      <c r="C77" s="85"/>
      <c r="D77" s="85"/>
      <c r="E77" s="85"/>
      <c r="F77" s="85"/>
      <c r="G77" s="85"/>
      <c r="H77" s="85"/>
      <c r="I77" s="85"/>
      <c r="J77" s="85"/>
    </row>
    <row r="78" spans="1:32" ht="15.75" customHeight="1">
      <c r="C78" s="85"/>
      <c r="D78" s="85"/>
      <c r="E78" s="85"/>
      <c r="F78" s="85"/>
      <c r="G78" s="85"/>
      <c r="H78" s="85"/>
      <c r="I78" s="85"/>
      <c r="J78" s="85"/>
    </row>
    <row r="79" spans="1:32" ht="15.75" customHeight="1">
      <c r="C79" s="85"/>
      <c r="D79" s="85"/>
      <c r="E79" s="85"/>
      <c r="F79" s="85"/>
      <c r="G79" s="85"/>
      <c r="H79" s="85"/>
      <c r="I79" s="85"/>
      <c r="J79" s="85"/>
    </row>
    <row r="80" spans="1:32" ht="15.75" customHeight="1">
      <c r="C80" s="85"/>
      <c r="D80" s="85"/>
      <c r="E80" s="85"/>
      <c r="F80" s="85"/>
      <c r="G80" s="85"/>
      <c r="H80" s="85"/>
      <c r="I80" s="85"/>
      <c r="J80" s="85"/>
    </row>
    <row r="81" spans="3:10" ht="15.75" customHeight="1">
      <c r="C81" s="85"/>
      <c r="D81" s="85"/>
      <c r="E81" s="85"/>
      <c r="F81" s="85"/>
      <c r="G81" s="85"/>
      <c r="H81" s="85"/>
      <c r="I81" s="85"/>
      <c r="J81" s="85"/>
    </row>
    <row r="82" spans="3:10" ht="15.75" customHeight="1">
      <c r="C82" s="85"/>
      <c r="D82" s="85"/>
      <c r="E82" s="85"/>
      <c r="F82" s="85"/>
      <c r="G82" s="85"/>
      <c r="H82" s="85"/>
      <c r="I82" s="85"/>
      <c r="J82" s="85"/>
    </row>
    <row r="83" spans="3:10" ht="15.75" customHeight="1">
      <c r="C83" s="85"/>
      <c r="D83" s="85"/>
      <c r="E83" s="85"/>
      <c r="F83" s="85"/>
      <c r="G83" s="85"/>
      <c r="H83" s="85"/>
      <c r="I83" s="85"/>
      <c r="J83" s="85"/>
    </row>
    <row r="84" spans="3:10" ht="15.75" customHeight="1">
      <c r="C84" s="85"/>
      <c r="D84" s="85"/>
      <c r="E84" s="85"/>
      <c r="F84" s="85"/>
      <c r="G84" s="85"/>
      <c r="H84" s="85"/>
      <c r="I84" s="85"/>
      <c r="J84" s="85"/>
    </row>
    <row r="85" spans="3:10" ht="15.75" customHeight="1">
      <c r="C85" s="85"/>
      <c r="D85" s="85"/>
      <c r="E85" s="85"/>
      <c r="F85" s="85"/>
      <c r="G85" s="85"/>
      <c r="H85" s="85"/>
      <c r="I85" s="85"/>
      <c r="J85" s="85"/>
    </row>
    <row r="86" spans="3:10" ht="15.75" customHeight="1">
      <c r="C86" s="85"/>
      <c r="D86" s="85"/>
      <c r="E86" s="85"/>
      <c r="F86" s="85"/>
      <c r="G86" s="85"/>
      <c r="H86" s="85"/>
      <c r="I86" s="85"/>
      <c r="J86" s="85"/>
    </row>
    <row r="87" spans="3:10" ht="15.75" customHeight="1">
      <c r="C87" s="85"/>
      <c r="D87" s="85"/>
      <c r="E87" s="85"/>
      <c r="F87" s="85"/>
      <c r="G87" s="85"/>
      <c r="H87" s="85"/>
      <c r="I87" s="85"/>
      <c r="J87" s="85"/>
    </row>
    <row r="88" spans="3:10" ht="15.75" customHeight="1">
      <c r="C88" s="85"/>
      <c r="D88" s="85"/>
      <c r="E88" s="85"/>
      <c r="F88" s="85"/>
      <c r="G88" s="85"/>
      <c r="H88" s="85"/>
      <c r="I88" s="85"/>
      <c r="J88" s="85"/>
    </row>
    <row r="89" spans="3:10" ht="15.75" customHeight="1">
      <c r="C89" s="85"/>
      <c r="D89" s="85"/>
      <c r="E89" s="85"/>
      <c r="F89" s="85"/>
      <c r="G89" s="85"/>
      <c r="H89" s="85"/>
      <c r="I89" s="85"/>
      <c r="J89" s="85"/>
    </row>
    <row r="90" spans="3:10" ht="15.75" customHeight="1">
      <c r="C90" s="85"/>
      <c r="D90" s="85"/>
      <c r="E90" s="85"/>
      <c r="F90" s="85"/>
      <c r="G90" s="85"/>
      <c r="H90" s="85"/>
      <c r="I90" s="85"/>
      <c r="J90" s="85"/>
    </row>
    <row r="91" spans="3:10" ht="15.75" customHeight="1">
      <c r="C91" s="85"/>
      <c r="D91" s="85"/>
      <c r="E91" s="85"/>
      <c r="F91" s="85"/>
      <c r="G91" s="85"/>
      <c r="H91" s="85"/>
      <c r="I91" s="85"/>
      <c r="J91" s="85"/>
    </row>
    <row r="92" spans="3:10" ht="15.75" customHeight="1">
      <c r="C92" s="85"/>
      <c r="D92" s="85"/>
      <c r="E92" s="85"/>
      <c r="F92" s="85"/>
      <c r="G92" s="85"/>
      <c r="H92" s="85"/>
      <c r="I92" s="85"/>
      <c r="J92" s="85"/>
    </row>
    <row r="93" spans="3:10" ht="15.75" customHeight="1">
      <c r="C93" s="85"/>
      <c r="D93" s="85"/>
      <c r="E93" s="85"/>
      <c r="F93" s="85"/>
      <c r="G93" s="85"/>
      <c r="H93" s="85"/>
      <c r="I93" s="85"/>
      <c r="J93" s="85"/>
    </row>
    <row r="94" spans="3:10" ht="15.75" customHeight="1">
      <c r="C94" s="85"/>
      <c r="D94" s="85"/>
      <c r="E94" s="85"/>
      <c r="F94" s="85"/>
      <c r="G94" s="85"/>
      <c r="H94" s="85"/>
      <c r="I94" s="85"/>
      <c r="J94" s="85"/>
    </row>
    <row r="95" spans="3:10" ht="15.75" customHeight="1">
      <c r="C95" s="85"/>
      <c r="D95" s="85"/>
      <c r="E95" s="85"/>
      <c r="F95" s="85"/>
      <c r="G95" s="85"/>
      <c r="H95" s="85"/>
      <c r="I95" s="85"/>
      <c r="J95" s="85"/>
    </row>
    <row r="96" spans="3:10" ht="15.75" customHeight="1">
      <c r="C96" s="85"/>
      <c r="D96" s="85"/>
      <c r="E96" s="85"/>
      <c r="F96" s="85"/>
      <c r="G96" s="85"/>
      <c r="H96" s="85"/>
      <c r="I96" s="85"/>
      <c r="J96" s="85"/>
    </row>
    <row r="97" spans="3:10" ht="15.75" customHeight="1">
      <c r="C97" s="85"/>
      <c r="D97" s="85"/>
      <c r="E97" s="85"/>
      <c r="F97" s="85"/>
      <c r="G97" s="85"/>
      <c r="H97" s="85"/>
      <c r="I97" s="85"/>
      <c r="J97" s="85"/>
    </row>
    <row r="98" spans="3:10" ht="15.75" customHeight="1">
      <c r="C98" s="85"/>
      <c r="D98" s="85"/>
      <c r="E98" s="85"/>
      <c r="F98" s="85"/>
      <c r="G98" s="85"/>
      <c r="H98" s="85"/>
      <c r="I98" s="85"/>
      <c r="J98" s="85"/>
    </row>
    <row r="99" spans="3:10" ht="15.75" customHeight="1">
      <c r="C99" s="85"/>
      <c r="D99" s="85"/>
      <c r="E99" s="85"/>
      <c r="F99" s="85"/>
      <c r="G99" s="85"/>
      <c r="H99" s="85"/>
      <c r="I99" s="85"/>
      <c r="J99" s="85"/>
    </row>
    <row r="100" spans="3:10" ht="15.75" customHeight="1">
      <c r="C100" s="85"/>
      <c r="D100" s="85"/>
      <c r="E100" s="85"/>
      <c r="F100" s="85"/>
      <c r="G100" s="85"/>
      <c r="H100" s="85"/>
      <c r="I100" s="85"/>
      <c r="J100" s="85"/>
    </row>
    <row r="101" spans="3:10" ht="15.75" customHeight="1">
      <c r="C101" s="85"/>
      <c r="D101" s="85"/>
      <c r="E101" s="85"/>
      <c r="F101" s="85"/>
      <c r="G101" s="85"/>
      <c r="H101" s="85"/>
      <c r="I101" s="85"/>
      <c r="J101" s="85"/>
    </row>
    <row r="102" spans="3:10" ht="15.75" customHeight="1">
      <c r="C102" s="85"/>
      <c r="D102" s="85"/>
      <c r="E102" s="85"/>
      <c r="F102" s="85"/>
      <c r="G102" s="85"/>
      <c r="H102" s="85"/>
      <c r="I102" s="85"/>
      <c r="J102" s="85"/>
    </row>
    <row r="103" spans="3:10" ht="15.75" customHeight="1">
      <c r="C103" s="85"/>
      <c r="D103" s="85"/>
      <c r="E103" s="85"/>
      <c r="F103" s="85"/>
      <c r="G103" s="85"/>
      <c r="H103" s="85"/>
      <c r="I103" s="85"/>
      <c r="J103" s="85"/>
    </row>
    <row r="104" spans="3:10" ht="15.75" customHeight="1">
      <c r="C104" s="85"/>
      <c r="D104" s="85"/>
      <c r="E104" s="85"/>
      <c r="F104" s="85"/>
      <c r="G104" s="85"/>
      <c r="H104" s="85"/>
      <c r="I104" s="85"/>
      <c r="J104" s="85"/>
    </row>
    <row r="105" spans="3:10" ht="15.75" customHeight="1">
      <c r="C105" s="85"/>
      <c r="D105" s="85"/>
      <c r="E105" s="85"/>
      <c r="F105" s="85"/>
      <c r="G105" s="85"/>
      <c r="H105" s="85"/>
      <c r="I105" s="85"/>
      <c r="J105" s="85"/>
    </row>
    <row r="106" spans="3:10" ht="15.75" customHeight="1">
      <c r="C106" s="85"/>
      <c r="D106" s="85"/>
      <c r="E106" s="85"/>
      <c r="F106" s="85"/>
      <c r="G106" s="85"/>
      <c r="H106" s="85"/>
      <c r="I106" s="85"/>
      <c r="J106" s="85"/>
    </row>
    <row r="107" spans="3:10" ht="15.75" customHeight="1">
      <c r="C107" s="85"/>
      <c r="D107" s="85"/>
      <c r="E107" s="85"/>
      <c r="F107" s="85"/>
      <c r="G107" s="85"/>
      <c r="H107" s="85"/>
      <c r="I107" s="85"/>
      <c r="J107" s="85"/>
    </row>
    <row r="108" spans="3:10" ht="15.75" customHeight="1">
      <c r="C108" s="85"/>
      <c r="D108" s="85"/>
      <c r="E108" s="85"/>
      <c r="F108" s="85"/>
      <c r="G108" s="85"/>
      <c r="H108" s="85"/>
      <c r="I108" s="85"/>
      <c r="J108" s="85"/>
    </row>
    <row r="109" spans="3:10" ht="15.75" customHeight="1">
      <c r="C109" s="85"/>
      <c r="D109" s="85"/>
      <c r="E109" s="85"/>
      <c r="F109" s="85"/>
      <c r="G109" s="85"/>
      <c r="H109" s="85"/>
      <c r="I109" s="85"/>
      <c r="J109" s="85"/>
    </row>
    <row r="110" spans="3:10" ht="15.75" customHeight="1">
      <c r="C110" s="85"/>
      <c r="D110" s="85"/>
      <c r="E110" s="85"/>
      <c r="F110" s="85"/>
      <c r="G110" s="85"/>
      <c r="H110" s="85"/>
      <c r="I110" s="85"/>
      <c r="J110" s="85"/>
    </row>
    <row r="111" spans="3:10" ht="15.75" customHeight="1">
      <c r="C111" s="85"/>
      <c r="D111" s="85"/>
      <c r="E111" s="85"/>
      <c r="F111" s="85"/>
      <c r="G111" s="85"/>
      <c r="H111" s="85"/>
      <c r="I111" s="85"/>
      <c r="J111" s="85"/>
    </row>
    <row r="112" spans="3:10" ht="15.75" customHeight="1">
      <c r="C112" s="85"/>
      <c r="D112" s="85"/>
      <c r="E112" s="85"/>
      <c r="F112" s="85"/>
      <c r="G112" s="85"/>
      <c r="H112" s="85"/>
      <c r="I112" s="85"/>
      <c r="J112" s="85"/>
    </row>
    <row r="113" spans="3:10" ht="15.75" customHeight="1">
      <c r="C113" s="85"/>
      <c r="D113" s="85"/>
      <c r="E113" s="85"/>
      <c r="F113" s="85"/>
      <c r="G113" s="85"/>
      <c r="H113" s="85"/>
      <c r="I113" s="85"/>
      <c r="J113" s="85"/>
    </row>
    <row r="114" spans="3:10" ht="15.75" customHeight="1">
      <c r="C114" s="85"/>
      <c r="D114" s="85"/>
      <c r="E114" s="85"/>
      <c r="F114" s="85"/>
      <c r="G114" s="85"/>
      <c r="H114" s="85"/>
      <c r="I114" s="85"/>
      <c r="J114" s="85"/>
    </row>
    <row r="115" spans="3:10" ht="15.75" customHeight="1">
      <c r="C115" s="85"/>
      <c r="D115" s="85"/>
      <c r="E115" s="85"/>
      <c r="F115" s="85"/>
      <c r="G115" s="85"/>
      <c r="H115" s="85"/>
      <c r="I115" s="85"/>
      <c r="J115" s="85"/>
    </row>
    <row r="116" spans="3:10" ht="15.75" customHeight="1">
      <c r="C116" s="85"/>
      <c r="D116" s="85"/>
      <c r="E116" s="85"/>
      <c r="F116" s="85"/>
      <c r="G116" s="85"/>
      <c r="H116" s="85"/>
      <c r="I116" s="85"/>
      <c r="J116" s="85"/>
    </row>
    <row r="117" spans="3:10" ht="15.75" customHeight="1">
      <c r="C117" s="85"/>
      <c r="D117" s="85"/>
      <c r="E117" s="85"/>
      <c r="F117" s="85"/>
      <c r="G117" s="85"/>
      <c r="H117" s="85"/>
      <c r="I117" s="85"/>
      <c r="J117" s="85"/>
    </row>
    <row r="118" spans="3:10" ht="15.75" customHeight="1">
      <c r="C118" s="85"/>
      <c r="D118" s="85"/>
      <c r="E118" s="85"/>
      <c r="F118" s="85"/>
      <c r="G118" s="85"/>
      <c r="H118" s="85"/>
      <c r="I118" s="85"/>
      <c r="J118" s="85"/>
    </row>
    <row r="119" spans="3:10" ht="15.75" customHeight="1">
      <c r="C119" s="85"/>
      <c r="D119" s="85"/>
      <c r="E119" s="85"/>
      <c r="F119" s="85"/>
      <c r="G119" s="85"/>
      <c r="H119" s="85"/>
      <c r="I119" s="85"/>
      <c r="J119" s="85"/>
    </row>
    <row r="120" spans="3:10" ht="15.75" customHeight="1">
      <c r="C120" s="85"/>
      <c r="D120" s="85"/>
      <c r="E120" s="85"/>
      <c r="F120" s="85"/>
      <c r="G120" s="85"/>
      <c r="H120" s="85"/>
      <c r="I120" s="85"/>
      <c r="J120" s="85"/>
    </row>
    <row r="121" spans="3:10" ht="15.75" customHeight="1">
      <c r="C121" s="85"/>
      <c r="D121" s="85"/>
      <c r="E121" s="85"/>
      <c r="F121" s="85"/>
      <c r="G121" s="85"/>
      <c r="H121" s="85"/>
      <c r="I121" s="85"/>
      <c r="J121" s="85"/>
    </row>
    <row r="122" spans="3:10" ht="15.75" customHeight="1">
      <c r="C122" s="85"/>
      <c r="D122" s="85"/>
      <c r="E122" s="85"/>
      <c r="F122" s="85"/>
      <c r="G122" s="85"/>
      <c r="H122" s="85"/>
      <c r="I122" s="85"/>
      <c r="J122" s="85"/>
    </row>
    <row r="123" spans="3:10" ht="15.75" customHeight="1">
      <c r="C123" s="85"/>
      <c r="D123" s="85"/>
      <c r="E123" s="85"/>
      <c r="F123" s="85"/>
      <c r="G123" s="85"/>
      <c r="H123" s="85"/>
      <c r="I123" s="85"/>
      <c r="J123" s="85"/>
    </row>
    <row r="124" spans="3:10" ht="15.75" customHeight="1">
      <c r="C124" s="85"/>
      <c r="D124" s="85"/>
      <c r="E124" s="85"/>
      <c r="F124" s="85"/>
      <c r="G124" s="85"/>
      <c r="H124" s="85"/>
      <c r="I124" s="85"/>
      <c r="J124" s="85"/>
    </row>
  </sheetData>
  <sheetProtection insertRows="0" deleteRows="0" selectLockedCells="1"/>
  <mergeCells count="42">
    <mergeCell ref="A53:B53"/>
    <mergeCell ref="A54:B54"/>
    <mergeCell ref="A48:B48"/>
    <mergeCell ref="A49:B49"/>
    <mergeCell ref="A50:B50"/>
    <mergeCell ref="A51:B51"/>
    <mergeCell ref="A52:B52"/>
    <mergeCell ref="A43:B43"/>
    <mergeCell ref="A44:B44"/>
    <mergeCell ref="A45:B45"/>
    <mergeCell ref="A46:B46"/>
    <mergeCell ref="A47:B47"/>
    <mergeCell ref="E33:I33"/>
    <mergeCell ref="Y17:AB17"/>
    <mergeCell ref="A18:D18"/>
    <mergeCell ref="A14:D14"/>
    <mergeCell ref="A15:D15"/>
    <mergeCell ref="A16:D16"/>
    <mergeCell ref="A17:D17"/>
    <mergeCell ref="A19:D19"/>
    <mergeCell ref="A13:D13"/>
    <mergeCell ref="A1:B1"/>
    <mergeCell ref="C1:J1"/>
    <mergeCell ref="B9:F9"/>
    <mergeCell ref="E11:H11"/>
    <mergeCell ref="A12:D12"/>
    <mergeCell ref="A41:B41"/>
    <mergeCell ref="A42:B42"/>
    <mergeCell ref="A24:D24"/>
    <mergeCell ref="A20:D20"/>
    <mergeCell ref="A21:D21"/>
    <mergeCell ref="A22:D22"/>
    <mergeCell ref="A23:D23"/>
    <mergeCell ref="A33:C33"/>
    <mergeCell ref="A29:D29"/>
    <mergeCell ref="A30:D30"/>
    <mergeCell ref="A31:D31"/>
    <mergeCell ref="A25:D25"/>
    <mergeCell ref="A26:D26"/>
    <mergeCell ref="A27:D27"/>
    <mergeCell ref="A28:D28"/>
    <mergeCell ref="A32:H32"/>
  </mergeCells>
  <conditionalFormatting sqref="A20:H28 I12:J28 I32:J32 A32 A29:J31">
    <cfRule type="expression" dxfId="1" priority="2">
      <formula>AND($A$13&lt;&gt;"",$L$1=ROW())</formula>
    </cfRule>
  </conditionalFormatting>
  <conditionalFormatting sqref="A13:H19">
    <cfRule type="expression" dxfId="0" priority="1">
      <formula>AND($A$13&lt;&gt;"",$L$1=ROW())</formula>
    </cfRule>
  </conditionalFormatting>
  <dataValidations count="5">
    <dataValidation type="list" allowBlank="1" showInputMessage="1" sqref="G42:G54 E42:E54 H13:H31" xr:uid="{1EA6DAA2-1A11-4D7E-92DF-4B17E7B43E68}">
      <formula1>units</formula1>
    </dataValidation>
    <dataValidation type="list" allowBlank="1" showInputMessage="1" showErrorMessage="1" sqref="B40" xr:uid="{E4FDC4E3-3041-40F4-973D-9D99A1536C12}">
      <formula1>HourRates</formula1>
    </dataValidation>
    <dataValidation type="list" allowBlank="1" showInputMessage="1" showErrorMessage="1" sqref="C8" xr:uid="{338D96B6-507D-4B05-8F1D-820F20DFC08B}">
      <formula1>INDEX(FoodCostTable,,1)</formula1>
    </dataValidation>
    <dataValidation type="list" allowBlank="1" showInputMessage="1" showErrorMessage="1" sqref="B9:F9" xr:uid="{517A9DFF-A99E-4C01-BF0F-24012FABAF24}">
      <formula1>Signature</formula1>
    </dataValidation>
    <dataValidation type="list" allowBlank="1" showInputMessage="1" showErrorMessage="1" sqref="F8" xr:uid="{3A9B26C1-28E3-431E-BB64-CD4615C34BCB}">
      <formula1>_xlfn.ANCHORARRAY(AJ18)</formula1>
    </dataValidation>
  </dataValidations>
  <pageMargins left="0.7" right="0.7" top="0.75" bottom="0.75" header="0.3" footer="0.3"/>
  <pageSetup scale="91" orientation="landscape" r:id="rId1"/>
  <headerFooter>
    <oddHeader>&amp;C&amp;14&amp;A Costing&amp;R&amp;14&amp;D</oddHeader>
    <oddFooter>&amp;L&amp;14&amp;P of &amp;N</oddFooter>
  </headerFooter>
  <colBreaks count="1" manualBreakCount="1">
    <brk id="10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762A6-D1AC-4C03-A24F-C6568A49DCAD}">
  <sheetPr codeName="Sheet2"/>
  <dimension ref="A1:D14"/>
  <sheetViews>
    <sheetView showGridLines="0" workbookViewId="0"/>
  </sheetViews>
  <sheetFormatPr defaultRowHeight="15"/>
  <cols>
    <col min="1" max="1" width="5.28515625" style="94" bestFit="1" customWidth="1"/>
    <col min="2" max="2" width="25.7109375" bestFit="1" customWidth="1"/>
    <col min="3" max="3" width="36.85546875" bestFit="1" customWidth="1"/>
    <col min="4" max="4" width="108.140625" bestFit="1" customWidth="1"/>
  </cols>
  <sheetData>
    <row r="1" spans="1:4" ht="15.75">
      <c r="A1" s="154" t="s">
        <v>158</v>
      </c>
      <c r="B1" s="155" t="s">
        <v>159</v>
      </c>
      <c r="C1" s="155" t="s">
        <v>160</v>
      </c>
      <c r="D1" s="156" t="s">
        <v>161</v>
      </c>
    </row>
    <row r="2" spans="1:4">
      <c r="A2" s="94">
        <v>1001</v>
      </c>
      <c r="B2" t="s">
        <v>460</v>
      </c>
      <c r="C2" t="s">
        <v>461</v>
      </c>
      <c r="D2" t="s">
        <v>462</v>
      </c>
    </row>
    <row r="3" spans="1:4">
      <c r="A3" s="94">
        <v>1002</v>
      </c>
      <c r="B3" t="s">
        <v>463</v>
      </c>
      <c r="C3" t="s">
        <v>464</v>
      </c>
      <c r="D3" t="s">
        <v>465</v>
      </c>
    </row>
    <row r="4" spans="1:4">
      <c r="A4" s="94">
        <v>1003</v>
      </c>
      <c r="B4" t="s">
        <v>466</v>
      </c>
      <c r="C4" t="s">
        <v>467</v>
      </c>
      <c r="D4" t="s">
        <v>468</v>
      </c>
    </row>
    <row r="5" spans="1:4">
      <c r="A5" s="94">
        <v>1004</v>
      </c>
      <c r="B5" t="s">
        <v>469</v>
      </c>
      <c r="C5" t="s">
        <v>470</v>
      </c>
      <c r="D5" t="s">
        <v>471</v>
      </c>
    </row>
    <row r="6" spans="1:4">
      <c r="A6" s="94">
        <v>1005</v>
      </c>
      <c r="B6" t="s">
        <v>472</v>
      </c>
      <c r="C6" t="s">
        <v>473</v>
      </c>
      <c r="D6" t="s">
        <v>474</v>
      </c>
    </row>
    <row r="7" spans="1:4">
      <c r="A7" s="94">
        <v>1006</v>
      </c>
      <c r="B7" t="s">
        <v>475</v>
      </c>
      <c r="C7" t="s">
        <v>476</v>
      </c>
      <c r="D7" t="s">
        <v>477</v>
      </c>
    </row>
    <row r="8" spans="1:4">
      <c r="A8" s="94">
        <v>1007</v>
      </c>
      <c r="B8" t="s">
        <v>478</v>
      </c>
      <c r="C8" t="s">
        <v>479</v>
      </c>
      <c r="D8" t="s">
        <v>480</v>
      </c>
    </row>
    <row r="9" spans="1:4">
      <c r="A9" s="94">
        <v>1008</v>
      </c>
      <c r="B9" t="s">
        <v>481</v>
      </c>
      <c r="C9" t="s">
        <v>482</v>
      </c>
      <c r="D9" t="s">
        <v>483</v>
      </c>
    </row>
    <row r="10" spans="1:4">
      <c r="A10" s="94">
        <v>1009</v>
      </c>
      <c r="B10" t="s">
        <v>484</v>
      </c>
      <c r="C10" t="s">
        <v>485</v>
      </c>
      <c r="D10" t="s">
        <v>486</v>
      </c>
    </row>
    <row r="11" spans="1:4">
      <c r="A11" s="94">
        <v>1010</v>
      </c>
      <c r="B11" t="s">
        <v>457</v>
      </c>
      <c r="C11" t="s">
        <v>487</v>
      </c>
      <c r="D11" t="s">
        <v>488</v>
      </c>
    </row>
    <row r="12" spans="1:4">
      <c r="A12" s="94">
        <v>1011</v>
      </c>
      <c r="B12" t="s">
        <v>456</v>
      </c>
      <c r="C12" t="s">
        <v>489</v>
      </c>
      <c r="D12" t="s">
        <v>490</v>
      </c>
    </row>
    <row r="13" spans="1:4">
      <c r="A13" s="94">
        <v>1012</v>
      </c>
      <c r="B13" t="s">
        <v>455</v>
      </c>
      <c r="C13" t="s">
        <v>491</v>
      </c>
      <c r="D13" t="s">
        <v>492</v>
      </c>
    </row>
    <row r="14" spans="1:4">
      <c r="A14" s="94">
        <v>1013</v>
      </c>
      <c r="B14" t="s">
        <v>452</v>
      </c>
      <c r="C14" t="s">
        <v>493</v>
      </c>
      <c r="D14" t="s">
        <v>494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86009-A71F-46C3-B51A-7EF9DA61D7A7}">
  <sheetPr codeName="Sheet7">
    <tabColor theme="9" tint="0.59999389629810485"/>
  </sheetPr>
  <dimension ref="A1:AF68"/>
  <sheetViews>
    <sheetView showGridLines="0" zoomScale="106" zoomScaleNormal="106" workbookViewId="0">
      <selection sqref="A1:B1"/>
    </sheetView>
  </sheetViews>
  <sheetFormatPr defaultRowHeight="15"/>
  <cols>
    <col min="1" max="1" width="11.140625" style="95" customWidth="1"/>
    <col min="2" max="2" width="11" style="95" customWidth="1"/>
    <col min="3" max="3" width="6.42578125" style="95" customWidth="1"/>
    <col min="4" max="4" width="14.85546875" style="95" customWidth="1"/>
    <col min="5" max="5" width="13.28515625" style="95" customWidth="1"/>
    <col min="6" max="6" width="9.7109375" style="95" customWidth="1"/>
    <col min="7" max="7" width="12.140625" style="95" customWidth="1"/>
    <col min="8" max="8" width="3.28515625" style="95" customWidth="1"/>
    <col min="9" max="9" width="11.28515625" style="95" customWidth="1"/>
    <col min="10" max="10" width="7.140625" style="95" customWidth="1"/>
    <col min="11" max="11" width="10.85546875" style="95" customWidth="1"/>
    <col min="12" max="12" width="4.28515625" style="95" customWidth="1"/>
    <col min="13" max="13" width="22.7109375" style="95" customWidth="1"/>
    <col min="14" max="14" width="8.7109375" style="95" customWidth="1"/>
    <col min="15" max="15" width="11.7109375" style="95" customWidth="1"/>
    <col min="16" max="16" width="2.7109375" style="95" customWidth="1"/>
    <col min="17" max="17" width="2.140625" style="95" customWidth="1"/>
    <col min="18" max="18" width="9" style="95" customWidth="1"/>
    <col min="19" max="19" width="3" style="95" customWidth="1"/>
    <col min="20" max="20" width="15.28515625" style="95" customWidth="1"/>
    <col min="21" max="21" width="2.28515625" style="95" customWidth="1"/>
    <col min="22" max="22" width="14" style="95" customWidth="1"/>
    <col min="23" max="23" width="2.5703125" style="95" customWidth="1"/>
    <col min="24" max="24" width="6" style="95" customWidth="1"/>
    <col min="25" max="25" width="2.7109375" style="95" customWidth="1"/>
    <col min="26" max="26" width="2.140625" style="95" customWidth="1"/>
    <col min="27" max="27" width="6" style="95" customWidth="1"/>
    <col min="28" max="28" width="8.85546875" style="95" customWidth="1"/>
    <col min="29" max="29" width="6.28515625" style="95" customWidth="1"/>
    <col min="30" max="30" width="2.28515625" style="95" customWidth="1"/>
    <col min="31" max="31" width="15.85546875" style="95" customWidth="1"/>
    <col min="32" max="32" width="22" style="95" customWidth="1"/>
    <col min="33" max="33" width="9.140625" style="95"/>
    <col min="34" max="34" width="11.5703125" style="95" bestFit="1" customWidth="1"/>
    <col min="35" max="38" width="9.140625" style="95"/>
    <col min="39" max="39" width="12.7109375" style="95" bestFit="1" customWidth="1"/>
    <col min="40" max="41" width="9.140625" style="95"/>
    <col min="42" max="42" width="11" style="95" bestFit="1" customWidth="1"/>
    <col min="43" max="16384" width="9.140625" style="95"/>
  </cols>
  <sheetData>
    <row r="1" spans="1:32" ht="21">
      <c r="A1" s="203" t="s">
        <v>162</v>
      </c>
      <c r="B1" s="203"/>
      <c r="D1" s="203" t="s">
        <v>163</v>
      </c>
      <c r="E1" s="203"/>
      <c r="G1" s="203" t="str">
        <f ca="1">RIGHT(CELL("filename",D2),LEN(CELL("filename",D2))-FIND("]",CELL("filename",D2)))</f>
        <v>Kitchen Conversions</v>
      </c>
      <c r="H1" s="203"/>
      <c r="I1" s="203"/>
      <c r="J1" s="203"/>
      <c r="K1" s="203"/>
      <c r="L1" s="203"/>
      <c r="M1" s="203"/>
      <c r="O1" s="203" t="s">
        <v>164</v>
      </c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</row>
    <row r="2" spans="1:32">
      <c r="O2" s="96" t="s">
        <v>165</v>
      </c>
      <c r="Q2" s="97"/>
      <c r="R2" s="96" t="s">
        <v>166</v>
      </c>
      <c r="T2" s="95" t="s">
        <v>167</v>
      </c>
    </row>
    <row r="3" spans="1:32" ht="21">
      <c r="A3" s="95" t="s">
        <v>70</v>
      </c>
      <c r="B3" s="95" t="s">
        <v>168</v>
      </c>
      <c r="D3" s="95" t="s">
        <v>169</v>
      </c>
      <c r="E3" s="98" t="s">
        <v>170</v>
      </c>
      <c r="G3" s="203" t="s">
        <v>171</v>
      </c>
      <c r="H3" s="203"/>
      <c r="I3" s="203"/>
      <c r="K3" s="203" t="s">
        <v>172</v>
      </c>
      <c r="L3" s="203"/>
      <c r="M3" s="203"/>
      <c r="O3" s="99">
        <v>32</v>
      </c>
      <c r="P3" s="100" t="s">
        <v>169</v>
      </c>
      <c r="Q3" s="101" t="s">
        <v>4</v>
      </c>
      <c r="R3" s="99">
        <f t="shared" ref="R3:R32" si="0">($O3-32)*0.555555555555555</f>
        <v>0</v>
      </c>
      <c r="S3" s="100" t="s">
        <v>173</v>
      </c>
      <c r="T3" s="99">
        <f t="shared" ref="T3:T32" si="1">($O3-32)*0.555555555555555 +273.15</f>
        <v>273.14999999999998</v>
      </c>
      <c r="U3" s="100" t="s">
        <v>174</v>
      </c>
      <c r="V3" s="102" t="str">
        <f>UPPER("Freezing Point")</f>
        <v>FREEZING POINT</v>
      </c>
      <c r="X3" s="95">
        <v>190</v>
      </c>
      <c r="Y3" s="95" t="s">
        <v>169</v>
      </c>
      <c r="Z3" s="97" t="s">
        <v>4</v>
      </c>
      <c r="AA3" s="103">
        <f t="shared" ref="AA3:AA18" si="2">($X3-32)*0.555555555555555</f>
        <v>87.7777777777777</v>
      </c>
      <c r="AB3" s="95" t="s">
        <v>173</v>
      </c>
      <c r="AC3" s="103">
        <f t="shared" ref="AC3:AC18" si="3">($X3-32)*0.555555555555555 +273.15</f>
        <v>360.92777777777769</v>
      </c>
      <c r="AD3" s="95" t="s">
        <v>174</v>
      </c>
    </row>
    <row r="4" spans="1:32">
      <c r="A4" s="95" t="s">
        <v>142</v>
      </c>
      <c r="B4" s="95" t="s">
        <v>175</v>
      </c>
      <c r="D4" s="95" t="s">
        <v>173</v>
      </c>
      <c r="E4" s="104" t="s">
        <v>176</v>
      </c>
      <c r="G4" s="95" t="s">
        <v>177</v>
      </c>
      <c r="H4" s="105" t="s">
        <v>4</v>
      </c>
      <c r="I4" s="95" t="s">
        <v>178</v>
      </c>
      <c r="K4" s="95" t="s">
        <v>179</v>
      </c>
      <c r="L4" s="105" t="s">
        <v>4</v>
      </c>
      <c r="M4" s="106" t="s">
        <v>180</v>
      </c>
      <c r="O4" s="103">
        <v>35</v>
      </c>
      <c r="P4" s="95" t="s">
        <v>169</v>
      </c>
      <c r="Q4" s="97" t="s">
        <v>4</v>
      </c>
      <c r="R4" s="103">
        <f t="shared" si="0"/>
        <v>1.6666666666666652</v>
      </c>
      <c r="S4" s="95" t="s">
        <v>173</v>
      </c>
      <c r="T4" s="103">
        <f t="shared" si="1"/>
        <v>274.81666666666666</v>
      </c>
      <c r="U4" s="95" t="s">
        <v>174</v>
      </c>
      <c r="X4" s="95">
        <v>195</v>
      </c>
      <c r="Y4" s="95" t="s">
        <v>169</v>
      </c>
      <c r="Z4" s="97" t="s">
        <v>4</v>
      </c>
      <c r="AA4" s="103">
        <f t="shared" si="2"/>
        <v>90.555555555555472</v>
      </c>
      <c r="AB4" s="95" t="s">
        <v>173</v>
      </c>
      <c r="AC4" s="103">
        <f t="shared" si="3"/>
        <v>363.70555555555546</v>
      </c>
      <c r="AD4" s="95" t="s">
        <v>174</v>
      </c>
    </row>
    <row r="5" spans="1:32">
      <c r="A5" s="95" t="s">
        <v>181</v>
      </c>
      <c r="B5" s="95" t="s">
        <v>182</v>
      </c>
      <c r="D5" s="95" t="s">
        <v>174</v>
      </c>
      <c r="E5" s="104" t="s">
        <v>183</v>
      </c>
      <c r="G5" s="95" t="str">
        <f>$G4</f>
        <v>1 gallon</v>
      </c>
      <c r="H5" s="105" t="s">
        <v>4</v>
      </c>
      <c r="I5" s="95" t="s">
        <v>184</v>
      </c>
      <c r="K5" s="95" t="str">
        <f>$K4</f>
        <v>1/2 cup</v>
      </c>
      <c r="L5" s="105" t="s">
        <v>4</v>
      </c>
      <c r="M5" s="106" t="s">
        <v>185</v>
      </c>
      <c r="O5" s="103">
        <v>40</v>
      </c>
      <c r="P5" s="95" t="s">
        <v>169</v>
      </c>
      <c r="Q5" s="97" t="s">
        <v>4</v>
      </c>
      <c r="R5" s="103">
        <f t="shared" si="0"/>
        <v>4.4444444444444402</v>
      </c>
      <c r="S5" s="95" t="s">
        <v>173</v>
      </c>
      <c r="T5" s="103">
        <f t="shared" si="1"/>
        <v>277.59444444444443</v>
      </c>
      <c r="U5" s="95" t="s">
        <v>174</v>
      </c>
      <c r="X5" s="95">
        <v>200</v>
      </c>
      <c r="Y5" s="95" t="s">
        <v>169</v>
      </c>
      <c r="Z5" s="97" t="s">
        <v>4</v>
      </c>
      <c r="AA5" s="103">
        <f t="shared" si="2"/>
        <v>93.333333333333243</v>
      </c>
      <c r="AB5" s="95" t="s">
        <v>173</v>
      </c>
      <c r="AC5" s="103">
        <f t="shared" si="3"/>
        <v>366.48333333333323</v>
      </c>
      <c r="AD5" s="95" t="s">
        <v>174</v>
      </c>
    </row>
    <row r="6" spans="1:32" ht="15.75" thickBot="1">
      <c r="A6" s="95" t="s">
        <v>186</v>
      </c>
      <c r="B6" s="95" t="s">
        <v>187</v>
      </c>
      <c r="G6" s="95" t="str">
        <f t="shared" ref="G6:G8" si="4">$G5</f>
        <v>1 gallon</v>
      </c>
      <c r="H6" s="105" t="s">
        <v>4</v>
      </c>
      <c r="I6" s="95" t="s">
        <v>188</v>
      </c>
      <c r="K6" s="95" t="str">
        <f t="shared" ref="K6:K7" si="5">$K5</f>
        <v>1/2 cup</v>
      </c>
      <c r="L6" s="105" t="s">
        <v>4</v>
      </c>
      <c r="M6" s="106" t="s">
        <v>189</v>
      </c>
      <c r="O6" s="103">
        <v>56</v>
      </c>
      <c r="P6" s="95" t="s">
        <v>169</v>
      </c>
      <c r="Q6" s="97" t="s">
        <v>4</v>
      </c>
      <c r="R6" s="103">
        <f t="shared" si="0"/>
        <v>13.333333333333321</v>
      </c>
      <c r="S6" s="95" t="s">
        <v>173</v>
      </c>
      <c r="T6" s="103">
        <f t="shared" si="1"/>
        <v>286.48333333333329</v>
      </c>
      <c r="U6" s="95" t="s">
        <v>174</v>
      </c>
      <c r="X6" s="107">
        <v>212</v>
      </c>
      <c r="Y6" s="108" t="s">
        <v>169</v>
      </c>
      <c r="Z6" s="109" t="s">
        <v>4</v>
      </c>
      <c r="AA6" s="107">
        <f t="shared" si="2"/>
        <v>99.999999999999901</v>
      </c>
      <c r="AB6" s="108" t="s">
        <v>173</v>
      </c>
      <c r="AC6" s="107">
        <f t="shared" si="3"/>
        <v>373.14999999999986</v>
      </c>
      <c r="AD6" s="108" t="s">
        <v>174</v>
      </c>
      <c r="AE6" s="110" t="str">
        <f>UPPER("Boiling Point")</f>
        <v>BOILING POINT</v>
      </c>
    </row>
    <row r="7" spans="1:32" ht="22.5" thickTop="1" thickBot="1">
      <c r="A7" s="95" t="s">
        <v>190</v>
      </c>
      <c r="B7" s="95" t="s">
        <v>191</v>
      </c>
      <c r="D7" s="203" t="s">
        <v>192</v>
      </c>
      <c r="E7" s="203"/>
      <c r="G7" s="95" t="str">
        <f t="shared" si="4"/>
        <v>1 gallon</v>
      </c>
      <c r="H7" s="105" t="s">
        <v>4</v>
      </c>
      <c r="I7" s="95" t="s">
        <v>193</v>
      </c>
      <c r="K7" s="95" t="str">
        <f t="shared" si="5"/>
        <v>1/2 cup</v>
      </c>
      <c r="L7" s="105" t="s">
        <v>4</v>
      </c>
      <c r="M7" s="106" t="s">
        <v>194</v>
      </c>
      <c r="O7" s="103">
        <v>50</v>
      </c>
      <c r="P7" s="95" t="s">
        <v>169</v>
      </c>
      <c r="Q7" s="97" t="s">
        <v>4</v>
      </c>
      <c r="R7" s="103">
        <f t="shared" si="0"/>
        <v>9.9999999999999911</v>
      </c>
      <c r="S7" s="95" t="s">
        <v>173</v>
      </c>
      <c r="T7" s="103">
        <f t="shared" si="1"/>
        <v>283.14999999999998</v>
      </c>
      <c r="U7" s="95" t="s">
        <v>174</v>
      </c>
      <c r="X7" s="95">
        <v>220</v>
      </c>
      <c r="Y7" s="95" t="s">
        <v>169</v>
      </c>
      <c r="Z7" s="97" t="s">
        <v>4</v>
      </c>
      <c r="AA7" s="103">
        <f t="shared" si="2"/>
        <v>104.44444444444434</v>
      </c>
      <c r="AB7" s="95" t="s">
        <v>173</v>
      </c>
      <c r="AC7" s="103">
        <f t="shared" si="3"/>
        <v>377.59444444444432</v>
      </c>
      <c r="AD7" s="111" t="s">
        <v>174</v>
      </c>
      <c r="AE7" s="112" t="s">
        <v>195</v>
      </c>
      <c r="AF7" s="113" t="s">
        <v>196</v>
      </c>
    </row>
    <row r="8" spans="1:32">
      <c r="A8" s="95" t="s">
        <v>197</v>
      </c>
      <c r="B8" s="95" t="s">
        <v>198</v>
      </c>
      <c r="D8" s="103">
        <v>5</v>
      </c>
      <c r="E8" s="114" t="s">
        <v>199</v>
      </c>
      <c r="G8" s="95" t="str">
        <f t="shared" si="4"/>
        <v>1 gallon</v>
      </c>
      <c r="H8" s="105" t="s">
        <v>4</v>
      </c>
      <c r="I8" s="95" t="s">
        <v>200</v>
      </c>
      <c r="O8" s="103">
        <v>55</v>
      </c>
      <c r="P8" s="95" t="s">
        <v>169</v>
      </c>
      <c r="Q8" s="97" t="s">
        <v>4</v>
      </c>
      <c r="R8" s="103">
        <f t="shared" si="0"/>
        <v>12.777777777777766</v>
      </c>
      <c r="S8" s="95" t="s">
        <v>173</v>
      </c>
      <c r="T8" s="103">
        <f t="shared" si="1"/>
        <v>285.92777777777775</v>
      </c>
      <c r="U8" s="95" t="s">
        <v>174</v>
      </c>
      <c r="X8" s="95">
        <v>250</v>
      </c>
      <c r="Y8" s="95" t="s">
        <v>169</v>
      </c>
      <c r="Z8" s="97" t="s">
        <v>4</v>
      </c>
      <c r="AA8" s="103">
        <f t="shared" si="2"/>
        <v>121.111111111111</v>
      </c>
      <c r="AB8" s="95" t="s">
        <v>173</v>
      </c>
      <c r="AC8" s="103">
        <f t="shared" si="3"/>
        <v>394.26111111111095</v>
      </c>
      <c r="AD8" s="111" t="s">
        <v>174</v>
      </c>
      <c r="AE8" s="115" t="s">
        <v>201</v>
      </c>
      <c r="AF8" s="116" t="s">
        <v>202</v>
      </c>
    </row>
    <row r="9" spans="1:32" ht="21">
      <c r="A9" s="95" t="s">
        <v>79</v>
      </c>
      <c r="B9" s="95" t="s">
        <v>203</v>
      </c>
      <c r="D9" s="103">
        <v>7</v>
      </c>
      <c r="E9" s="114" t="s">
        <v>204</v>
      </c>
      <c r="G9" s="203" t="s">
        <v>205</v>
      </c>
      <c r="H9" s="203"/>
      <c r="I9" s="203"/>
      <c r="K9" s="203" t="s">
        <v>206</v>
      </c>
      <c r="L9" s="203"/>
      <c r="M9" s="203"/>
      <c r="O9" s="103">
        <v>60</v>
      </c>
      <c r="P9" s="95" t="s">
        <v>169</v>
      </c>
      <c r="Q9" s="97" t="s">
        <v>4</v>
      </c>
      <c r="R9" s="103">
        <f t="shared" si="0"/>
        <v>15.555555555555541</v>
      </c>
      <c r="S9" s="95" t="s">
        <v>173</v>
      </c>
      <c r="T9" s="103">
        <f t="shared" si="1"/>
        <v>288.70555555555552</v>
      </c>
      <c r="U9" s="95" t="s">
        <v>174</v>
      </c>
      <c r="X9" s="95">
        <v>275</v>
      </c>
      <c r="Y9" s="95" t="s">
        <v>169</v>
      </c>
      <c r="Z9" s="97" t="s">
        <v>4</v>
      </c>
      <c r="AA9" s="103">
        <f t="shared" si="2"/>
        <v>134.99999999999986</v>
      </c>
      <c r="AB9" s="95" t="s">
        <v>173</v>
      </c>
      <c r="AC9" s="103">
        <f t="shared" si="3"/>
        <v>408.14999999999986</v>
      </c>
      <c r="AD9" s="111" t="s">
        <v>174</v>
      </c>
      <c r="AE9" s="117">
        <v>1</v>
      </c>
      <c r="AF9" s="116"/>
    </row>
    <row r="10" spans="1:32">
      <c r="A10" s="95" t="s">
        <v>75</v>
      </c>
      <c r="B10" s="95" t="s">
        <v>207</v>
      </c>
      <c r="D10" s="103">
        <v>9</v>
      </c>
      <c r="E10" s="114" t="s">
        <v>208</v>
      </c>
      <c r="G10" s="95" t="s">
        <v>209</v>
      </c>
      <c r="H10" s="105" t="s">
        <v>4</v>
      </c>
      <c r="I10" s="95" t="s">
        <v>210</v>
      </c>
      <c r="K10" s="95" t="s">
        <v>211</v>
      </c>
      <c r="L10" s="105" t="s">
        <v>4</v>
      </c>
      <c r="M10" s="95" t="s">
        <v>212</v>
      </c>
      <c r="O10" s="103">
        <v>65</v>
      </c>
      <c r="P10" s="95" t="s">
        <v>169</v>
      </c>
      <c r="Q10" s="97" t="s">
        <v>4</v>
      </c>
      <c r="R10" s="103">
        <f t="shared" si="0"/>
        <v>18.333333333333314</v>
      </c>
      <c r="S10" s="95" t="s">
        <v>173</v>
      </c>
      <c r="T10" s="103">
        <f t="shared" si="1"/>
        <v>291.48333333333329</v>
      </c>
      <c r="U10" s="95" t="s">
        <v>174</v>
      </c>
      <c r="X10" s="95">
        <v>300</v>
      </c>
      <c r="Y10" s="95" t="s">
        <v>169</v>
      </c>
      <c r="Z10" s="97" t="s">
        <v>4</v>
      </c>
      <c r="AA10" s="103">
        <f t="shared" si="2"/>
        <v>148.88888888888874</v>
      </c>
      <c r="AB10" s="95" t="s">
        <v>173</v>
      </c>
      <c r="AC10" s="103">
        <f t="shared" si="3"/>
        <v>422.03888888888872</v>
      </c>
      <c r="AD10" s="111" t="s">
        <v>174</v>
      </c>
      <c r="AE10" s="117">
        <v>2</v>
      </c>
      <c r="AF10" s="116" t="s">
        <v>213</v>
      </c>
    </row>
    <row r="11" spans="1:32">
      <c r="A11" s="95" t="s">
        <v>214</v>
      </c>
      <c r="B11" s="95" t="s">
        <v>215</v>
      </c>
      <c r="G11" s="95" t="str">
        <f>$G10</f>
        <v>1 quart</v>
      </c>
      <c r="H11" s="105" t="s">
        <v>4</v>
      </c>
      <c r="I11" s="95" t="s">
        <v>216</v>
      </c>
      <c r="K11" s="95" t="str">
        <f>$K10</f>
        <v>1/4 cup</v>
      </c>
      <c r="L11" s="105" t="s">
        <v>4</v>
      </c>
      <c r="M11" s="95" t="s">
        <v>217</v>
      </c>
      <c r="O11" s="103">
        <v>70</v>
      </c>
      <c r="P11" s="95" t="s">
        <v>169</v>
      </c>
      <c r="Q11" s="97" t="s">
        <v>4</v>
      </c>
      <c r="R11" s="103">
        <f t="shared" si="0"/>
        <v>21.111111111111089</v>
      </c>
      <c r="S11" s="95" t="s">
        <v>173</v>
      </c>
      <c r="T11" s="103">
        <f t="shared" si="1"/>
        <v>294.26111111111106</v>
      </c>
      <c r="U11" s="95" t="s">
        <v>174</v>
      </c>
      <c r="X11" s="95">
        <v>325</v>
      </c>
      <c r="Y11" s="95" t="s">
        <v>169</v>
      </c>
      <c r="Z11" s="97" t="s">
        <v>4</v>
      </c>
      <c r="AA11" s="103">
        <f t="shared" si="2"/>
        <v>162.77777777777763</v>
      </c>
      <c r="AB11" s="95" t="s">
        <v>173</v>
      </c>
      <c r="AC11" s="103">
        <f t="shared" si="3"/>
        <v>435.92777777777758</v>
      </c>
      <c r="AD11" s="111" t="s">
        <v>174</v>
      </c>
      <c r="AE11" s="117">
        <v>3</v>
      </c>
      <c r="AF11" s="116"/>
    </row>
    <row r="12" spans="1:32">
      <c r="A12" s="95" t="s">
        <v>218</v>
      </c>
      <c r="B12" s="95" t="s">
        <v>219</v>
      </c>
      <c r="G12" s="95" t="str">
        <f t="shared" ref="G12:G13" si="6">$G11</f>
        <v>1 quart</v>
      </c>
      <c r="H12" s="105" t="s">
        <v>4</v>
      </c>
      <c r="I12" s="95" t="s">
        <v>220</v>
      </c>
      <c r="K12" s="95" t="str">
        <f t="shared" ref="K12:K13" si="7">$K11</f>
        <v>1/4 cup</v>
      </c>
      <c r="L12" s="105" t="s">
        <v>4</v>
      </c>
      <c r="M12" s="95" t="s">
        <v>221</v>
      </c>
      <c r="O12" s="103">
        <v>75</v>
      </c>
      <c r="P12" s="95" t="s">
        <v>169</v>
      </c>
      <c r="Q12" s="97" t="s">
        <v>4</v>
      </c>
      <c r="R12" s="103">
        <f t="shared" si="0"/>
        <v>23.888888888888864</v>
      </c>
      <c r="S12" s="95" t="s">
        <v>173</v>
      </c>
      <c r="T12" s="103">
        <f t="shared" si="1"/>
        <v>297.03888888888883</v>
      </c>
      <c r="U12" s="95" t="s">
        <v>174</v>
      </c>
      <c r="X12" s="95">
        <v>350</v>
      </c>
      <c r="Y12" s="95" t="s">
        <v>169</v>
      </c>
      <c r="Z12" s="97" t="s">
        <v>4</v>
      </c>
      <c r="AA12" s="103">
        <f t="shared" si="2"/>
        <v>176.66666666666649</v>
      </c>
      <c r="AB12" s="95" t="s">
        <v>173</v>
      </c>
      <c r="AC12" s="103">
        <f t="shared" si="3"/>
        <v>449.81666666666649</v>
      </c>
      <c r="AD12" s="111" t="s">
        <v>174</v>
      </c>
      <c r="AE12" s="117">
        <v>4</v>
      </c>
      <c r="AF12" s="116" t="s">
        <v>222</v>
      </c>
    </row>
    <row r="13" spans="1:32">
      <c r="A13" s="95" t="s">
        <v>223</v>
      </c>
      <c r="B13" s="95" t="s">
        <v>224</v>
      </c>
      <c r="G13" s="95" t="str">
        <f t="shared" si="6"/>
        <v>1 quart</v>
      </c>
      <c r="H13" s="105" t="s">
        <v>4</v>
      </c>
      <c r="I13" s="95" t="s">
        <v>225</v>
      </c>
      <c r="K13" s="95" t="str">
        <f t="shared" si="7"/>
        <v>1/4 cup</v>
      </c>
      <c r="L13" s="105" t="s">
        <v>4</v>
      </c>
      <c r="M13" s="95" t="s">
        <v>226</v>
      </c>
      <c r="O13" s="103">
        <v>80</v>
      </c>
      <c r="P13" s="95" t="s">
        <v>169</v>
      </c>
      <c r="Q13" s="97" t="s">
        <v>4</v>
      </c>
      <c r="R13" s="103">
        <f t="shared" si="0"/>
        <v>26.666666666666643</v>
      </c>
      <c r="S13" s="95" t="s">
        <v>173</v>
      </c>
      <c r="T13" s="103">
        <f t="shared" si="1"/>
        <v>299.81666666666661</v>
      </c>
      <c r="U13" s="95" t="s">
        <v>174</v>
      </c>
      <c r="X13" s="95">
        <v>375</v>
      </c>
      <c r="Y13" s="95" t="s">
        <v>169</v>
      </c>
      <c r="Z13" s="97" t="s">
        <v>4</v>
      </c>
      <c r="AA13" s="103">
        <f t="shared" si="2"/>
        <v>190.55555555555537</v>
      </c>
      <c r="AB13" s="95" t="s">
        <v>173</v>
      </c>
      <c r="AC13" s="103">
        <f t="shared" si="3"/>
        <v>463.70555555555535</v>
      </c>
      <c r="AD13" s="111" t="s">
        <v>174</v>
      </c>
      <c r="AE13" s="117">
        <v>5</v>
      </c>
      <c r="AF13" s="116"/>
    </row>
    <row r="14" spans="1:32" ht="21">
      <c r="A14" s="95" t="s">
        <v>227</v>
      </c>
      <c r="B14" s="95" t="s">
        <v>228</v>
      </c>
      <c r="D14" s="98"/>
      <c r="G14" s="203" t="s">
        <v>229</v>
      </c>
      <c r="H14" s="203"/>
      <c r="I14" s="203"/>
      <c r="K14" s="203" t="s">
        <v>230</v>
      </c>
      <c r="L14" s="203"/>
      <c r="M14" s="203"/>
      <c r="O14" s="103">
        <v>85</v>
      </c>
      <c r="P14" s="95" t="s">
        <v>169</v>
      </c>
      <c r="Q14" s="97" t="s">
        <v>4</v>
      </c>
      <c r="R14" s="103">
        <f t="shared" si="0"/>
        <v>29.444444444444418</v>
      </c>
      <c r="S14" s="95" t="s">
        <v>173</v>
      </c>
      <c r="T14" s="103">
        <f t="shared" si="1"/>
        <v>302.59444444444438</v>
      </c>
      <c r="U14" s="95" t="s">
        <v>174</v>
      </c>
      <c r="X14" s="95">
        <v>400</v>
      </c>
      <c r="Y14" s="95" t="s">
        <v>169</v>
      </c>
      <c r="Z14" s="97" t="s">
        <v>4</v>
      </c>
      <c r="AA14" s="103">
        <f t="shared" si="2"/>
        <v>204.44444444444426</v>
      </c>
      <c r="AB14" s="95" t="s">
        <v>173</v>
      </c>
      <c r="AC14" s="103">
        <f t="shared" si="3"/>
        <v>477.59444444444421</v>
      </c>
      <c r="AD14" s="111" t="s">
        <v>174</v>
      </c>
      <c r="AE14" s="117">
        <v>6</v>
      </c>
      <c r="AF14" s="116" t="s">
        <v>231</v>
      </c>
    </row>
    <row r="15" spans="1:32">
      <c r="A15" s="95" t="s">
        <v>232</v>
      </c>
      <c r="B15" s="95" t="s">
        <v>233</v>
      </c>
      <c r="G15" s="95" t="s">
        <v>234</v>
      </c>
      <c r="H15" s="118" t="s">
        <v>4</v>
      </c>
      <c r="I15" s="95" t="s">
        <v>210</v>
      </c>
      <c r="K15" s="95" t="s">
        <v>235</v>
      </c>
      <c r="L15" s="105" t="s">
        <v>4</v>
      </c>
      <c r="M15" s="95" t="s">
        <v>236</v>
      </c>
      <c r="O15" s="103">
        <v>90</v>
      </c>
      <c r="P15" s="95" t="s">
        <v>169</v>
      </c>
      <c r="Q15" s="97" t="s">
        <v>4</v>
      </c>
      <c r="R15" s="103">
        <f t="shared" si="0"/>
        <v>32.222222222222193</v>
      </c>
      <c r="S15" s="95" t="s">
        <v>173</v>
      </c>
      <c r="T15" s="103">
        <f t="shared" si="1"/>
        <v>305.37222222222215</v>
      </c>
      <c r="U15" s="95" t="s">
        <v>174</v>
      </c>
      <c r="X15" s="95">
        <v>425</v>
      </c>
      <c r="Y15" s="95" t="s">
        <v>169</v>
      </c>
      <c r="Z15" s="97" t="s">
        <v>4</v>
      </c>
      <c r="AA15" s="103">
        <f t="shared" si="2"/>
        <v>218.33333333333312</v>
      </c>
      <c r="AB15" s="95" t="s">
        <v>173</v>
      </c>
      <c r="AC15" s="103">
        <f t="shared" si="3"/>
        <v>491.48333333333312</v>
      </c>
      <c r="AD15" s="111" t="s">
        <v>174</v>
      </c>
      <c r="AE15" s="117">
        <v>7</v>
      </c>
      <c r="AF15" s="116" t="s">
        <v>237</v>
      </c>
    </row>
    <row r="16" spans="1:32">
      <c r="A16" s="95" t="s">
        <v>238</v>
      </c>
      <c r="B16" s="95" t="s">
        <v>239</v>
      </c>
      <c r="G16" s="95" t="str">
        <f>$G15</f>
        <v>1 pint</v>
      </c>
      <c r="H16" s="118" t="s">
        <v>4</v>
      </c>
      <c r="I16" s="95" t="s">
        <v>216</v>
      </c>
      <c r="K16" s="95" t="s">
        <v>240</v>
      </c>
      <c r="L16" s="105" t="s">
        <v>4</v>
      </c>
      <c r="M16" s="95" t="s">
        <v>241</v>
      </c>
      <c r="O16" s="103">
        <v>95</v>
      </c>
      <c r="P16" s="95" t="s">
        <v>169</v>
      </c>
      <c r="Q16" s="97" t="s">
        <v>4</v>
      </c>
      <c r="R16" s="103">
        <f t="shared" si="0"/>
        <v>34.999999999999964</v>
      </c>
      <c r="S16" s="95" t="s">
        <v>173</v>
      </c>
      <c r="T16" s="103">
        <f t="shared" si="1"/>
        <v>308.14999999999992</v>
      </c>
      <c r="U16" s="95" t="s">
        <v>174</v>
      </c>
      <c r="X16" s="95">
        <v>450</v>
      </c>
      <c r="Y16" s="95" t="s">
        <v>169</v>
      </c>
      <c r="Z16" s="97" t="s">
        <v>4</v>
      </c>
      <c r="AA16" s="103">
        <f t="shared" si="2"/>
        <v>232.222222222222</v>
      </c>
      <c r="AB16" s="95" t="s">
        <v>173</v>
      </c>
      <c r="AC16" s="103">
        <f t="shared" si="3"/>
        <v>505.37222222222198</v>
      </c>
      <c r="AD16" s="111" t="s">
        <v>174</v>
      </c>
      <c r="AE16" s="117">
        <v>8</v>
      </c>
      <c r="AF16" s="116"/>
    </row>
    <row r="17" spans="1:32" ht="15.75" thickBot="1">
      <c r="A17" s="95" t="s">
        <v>242</v>
      </c>
      <c r="B17" s="95" t="s">
        <v>243</v>
      </c>
      <c r="G17" s="95" t="str">
        <f>$G16</f>
        <v>1 pint</v>
      </c>
      <c r="H17" s="118" t="s">
        <v>4</v>
      </c>
      <c r="I17" s="95" t="s">
        <v>244</v>
      </c>
      <c r="K17" s="95" t="s">
        <v>245</v>
      </c>
      <c r="L17" s="105" t="s">
        <v>4</v>
      </c>
      <c r="M17" s="95" t="s">
        <v>246</v>
      </c>
      <c r="O17" s="103">
        <v>100</v>
      </c>
      <c r="P17" s="95" t="s">
        <v>169</v>
      </c>
      <c r="Q17" s="97" t="s">
        <v>4</v>
      </c>
      <c r="R17" s="103">
        <f t="shared" si="0"/>
        <v>37.777777777777743</v>
      </c>
      <c r="S17" s="95" t="s">
        <v>173</v>
      </c>
      <c r="T17" s="103">
        <f t="shared" si="1"/>
        <v>310.92777777777769</v>
      </c>
      <c r="U17" s="95" t="s">
        <v>174</v>
      </c>
      <c r="X17" s="95">
        <v>475</v>
      </c>
      <c r="Y17" s="95" t="s">
        <v>169</v>
      </c>
      <c r="Z17" s="97" t="s">
        <v>4</v>
      </c>
      <c r="AA17" s="103">
        <f t="shared" si="2"/>
        <v>246.11111111111089</v>
      </c>
      <c r="AB17" s="95" t="s">
        <v>173</v>
      </c>
      <c r="AC17" s="103">
        <f t="shared" si="3"/>
        <v>519.26111111111084</v>
      </c>
      <c r="AD17" s="111" t="s">
        <v>174</v>
      </c>
      <c r="AE17" s="119">
        <v>9</v>
      </c>
      <c r="AF17" s="120" t="s">
        <v>247</v>
      </c>
    </row>
    <row r="18" spans="1:32" ht="21.75" thickTop="1">
      <c r="A18" s="95" t="s">
        <v>248</v>
      </c>
      <c r="G18" s="203" t="s">
        <v>249</v>
      </c>
      <c r="H18" s="203"/>
      <c r="I18" s="203"/>
      <c r="K18" s="95" t="s">
        <v>250</v>
      </c>
      <c r="L18" s="105" t="s">
        <v>4</v>
      </c>
      <c r="M18" s="95" t="s">
        <v>251</v>
      </c>
      <c r="O18" s="95">
        <v>110</v>
      </c>
      <c r="P18" s="95" t="s">
        <v>169</v>
      </c>
      <c r="Q18" s="97" t="s">
        <v>4</v>
      </c>
      <c r="R18" s="103">
        <f t="shared" si="0"/>
        <v>43.333333333333293</v>
      </c>
      <c r="S18" s="95" t="s">
        <v>173</v>
      </c>
      <c r="T18" s="103">
        <f t="shared" si="1"/>
        <v>316.48333333333329</v>
      </c>
      <c r="U18" s="95" t="s">
        <v>174</v>
      </c>
      <c r="X18" s="95">
        <v>500</v>
      </c>
      <c r="Y18" s="95" t="s">
        <v>169</v>
      </c>
      <c r="Z18" s="97" t="s">
        <v>4</v>
      </c>
      <c r="AA18" s="103">
        <f t="shared" si="2"/>
        <v>259.99999999999977</v>
      </c>
      <c r="AB18" s="95" t="s">
        <v>173</v>
      </c>
      <c r="AC18" s="103">
        <f t="shared" si="3"/>
        <v>533.14999999999975</v>
      </c>
      <c r="AD18" s="95" t="s">
        <v>174</v>
      </c>
    </row>
    <row r="19" spans="1:32">
      <c r="A19" s="95" t="s">
        <v>252</v>
      </c>
      <c r="G19" s="95" t="s">
        <v>253</v>
      </c>
      <c r="H19" s="105" t="s">
        <v>4</v>
      </c>
      <c r="I19" s="95" t="s">
        <v>254</v>
      </c>
      <c r="K19" s="95" t="s">
        <v>255</v>
      </c>
      <c r="L19" s="105" t="s">
        <v>4</v>
      </c>
      <c r="M19" s="95" t="s">
        <v>256</v>
      </c>
      <c r="O19" s="95">
        <v>120</v>
      </c>
      <c r="P19" s="95" t="s">
        <v>169</v>
      </c>
      <c r="Q19" s="97" t="s">
        <v>4</v>
      </c>
      <c r="R19" s="103">
        <f t="shared" si="0"/>
        <v>48.888888888888843</v>
      </c>
      <c r="S19" s="95" t="s">
        <v>173</v>
      </c>
      <c r="T19" s="103">
        <f t="shared" si="1"/>
        <v>322.03888888888883</v>
      </c>
      <c r="U19" s="95" t="s">
        <v>174</v>
      </c>
    </row>
    <row r="20" spans="1:32" ht="21">
      <c r="A20" s="95" t="s">
        <v>257</v>
      </c>
      <c r="G20" s="95" t="str">
        <f>$G19</f>
        <v>1 Cup</v>
      </c>
      <c r="H20" s="105" t="s">
        <v>4</v>
      </c>
      <c r="I20" s="95" t="s">
        <v>256</v>
      </c>
      <c r="K20" s="203" t="s">
        <v>258</v>
      </c>
      <c r="L20" s="203"/>
      <c r="M20" s="203"/>
      <c r="O20" s="95">
        <v>125</v>
      </c>
      <c r="P20" s="95" t="s">
        <v>169</v>
      </c>
      <c r="Q20" s="97" t="s">
        <v>4</v>
      </c>
      <c r="R20" s="103">
        <f t="shared" si="0"/>
        <v>51.666666666666615</v>
      </c>
      <c r="S20" s="95" t="s">
        <v>173</v>
      </c>
      <c r="T20" s="103">
        <f t="shared" si="1"/>
        <v>324.81666666666661</v>
      </c>
      <c r="U20" s="95" t="s">
        <v>174</v>
      </c>
    </row>
    <row r="21" spans="1:32">
      <c r="A21" s="95" t="s">
        <v>259</v>
      </c>
      <c r="G21" s="95" t="str">
        <f>$G20</f>
        <v>1 Cup</v>
      </c>
      <c r="H21" s="105" t="s">
        <v>4</v>
      </c>
      <c r="I21" s="95" t="s">
        <v>260</v>
      </c>
      <c r="O21" s="95">
        <v>130</v>
      </c>
      <c r="P21" s="95" t="s">
        <v>169</v>
      </c>
      <c r="Q21" s="97" t="s">
        <v>4</v>
      </c>
      <c r="R21" s="103">
        <f t="shared" si="0"/>
        <v>54.444444444444393</v>
      </c>
      <c r="S21" s="95" t="s">
        <v>173</v>
      </c>
      <c r="T21" s="103">
        <f t="shared" si="1"/>
        <v>327.59444444444438</v>
      </c>
      <c r="U21" s="95" t="s">
        <v>174</v>
      </c>
    </row>
    <row r="22" spans="1:32">
      <c r="G22" s="95" t="str">
        <f>$G21</f>
        <v>1 Cup</v>
      </c>
      <c r="H22" s="105" t="s">
        <v>4</v>
      </c>
      <c r="I22" s="95" t="s">
        <v>261</v>
      </c>
      <c r="K22" s="95" t="s">
        <v>262</v>
      </c>
      <c r="L22" s="105" t="s">
        <v>4</v>
      </c>
      <c r="M22" s="95" t="s">
        <v>263</v>
      </c>
      <c r="O22" s="95">
        <v>135</v>
      </c>
      <c r="P22" s="95" t="s">
        <v>169</v>
      </c>
      <c r="Q22" s="97" t="s">
        <v>4</v>
      </c>
      <c r="R22" s="103">
        <f t="shared" si="0"/>
        <v>57.222222222222165</v>
      </c>
      <c r="S22" s="95" t="s">
        <v>173</v>
      </c>
      <c r="T22" s="103">
        <f t="shared" si="1"/>
        <v>330.37222222222215</v>
      </c>
      <c r="U22" s="95" t="s">
        <v>174</v>
      </c>
    </row>
    <row r="23" spans="1:32">
      <c r="O23" s="95">
        <v>140</v>
      </c>
      <c r="P23" s="95" t="s">
        <v>169</v>
      </c>
      <c r="Q23" s="97" t="s">
        <v>4</v>
      </c>
      <c r="R23" s="103">
        <f t="shared" si="0"/>
        <v>59.999999999999943</v>
      </c>
      <c r="S23" s="95" t="s">
        <v>173</v>
      </c>
      <c r="T23" s="103">
        <f t="shared" si="1"/>
        <v>333.14999999999992</v>
      </c>
      <c r="U23" s="95" t="s">
        <v>174</v>
      </c>
    </row>
    <row r="24" spans="1:32" ht="21">
      <c r="A24" s="203" t="s">
        <v>264</v>
      </c>
      <c r="B24" s="203"/>
      <c r="C24" s="203"/>
      <c r="D24" s="203"/>
      <c r="E24" s="203"/>
      <c r="F24" s="203"/>
      <c r="K24" s="203" t="s">
        <v>265</v>
      </c>
      <c r="L24" s="203"/>
      <c r="M24" s="203"/>
      <c r="O24" s="95">
        <v>145</v>
      </c>
      <c r="P24" s="95" t="s">
        <v>169</v>
      </c>
      <c r="Q24" s="97" t="s">
        <v>4</v>
      </c>
      <c r="R24" s="103">
        <f t="shared" si="0"/>
        <v>62.777777777777715</v>
      </c>
      <c r="S24" s="95" t="s">
        <v>173</v>
      </c>
      <c r="T24" s="103">
        <f t="shared" si="1"/>
        <v>335.92777777777769</v>
      </c>
      <c r="U24" s="95" t="s">
        <v>174</v>
      </c>
    </row>
    <row r="25" spans="1:32">
      <c r="C25" s="121" t="s">
        <v>266</v>
      </c>
      <c r="D25" s="121"/>
      <c r="F25" s="96" t="s">
        <v>267</v>
      </c>
      <c r="K25" s="95" t="s">
        <v>268</v>
      </c>
      <c r="L25" s="97" t="s">
        <v>4</v>
      </c>
      <c r="M25" s="95" t="s">
        <v>269</v>
      </c>
      <c r="O25" s="95">
        <v>150</v>
      </c>
      <c r="P25" s="95" t="s">
        <v>169</v>
      </c>
      <c r="Q25" s="97" t="s">
        <v>4</v>
      </c>
      <c r="R25" s="103">
        <f t="shared" si="0"/>
        <v>65.555555555555486</v>
      </c>
      <c r="S25" s="95" t="s">
        <v>173</v>
      </c>
      <c r="T25" s="103">
        <f t="shared" si="1"/>
        <v>338.70555555555546</v>
      </c>
      <c r="U25" s="95" t="s">
        <v>174</v>
      </c>
    </row>
    <row r="26" spans="1:32" ht="21">
      <c r="A26" s="95" t="s">
        <v>270</v>
      </c>
      <c r="B26" s="105" t="s">
        <v>4</v>
      </c>
      <c r="C26" s="122">
        <v>113.4</v>
      </c>
      <c r="D26" s="95" t="s">
        <v>271</v>
      </c>
      <c r="E26" s="105" t="s">
        <v>4</v>
      </c>
      <c r="F26" s="123">
        <f t="shared" ref="F26:F32" si="8">C26/28.35</f>
        <v>4</v>
      </c>
      <c r="G26" s="95" t="s">
        <v>142</v>
      </c>
      <c r="K26" s="203" t="s">
        <v>272</v>
      </c>
      <c r="L26" s="203"/>
      <c r="M26" s="203"/>
      <c r="O26" s="95">
        <v>155</v>
      </c>
      <c r="P26" s="95" t="s">
        <v>169</v>
      </c>
      <c r="Q26" s="97" t="s">
        <v>4</v>
      </c>
      <c r="R26" s="103">
        <f t="shared" si="0"/>
        <v>68.333333333333272</v>
      </c>
      <c r="S26" s="95" t="s">
        <v>173</v>
      </c>
      <c r="T26" s="103">
        <f t="shared" si="1"/>
        <v>341.48333333333323</v>
      </c>
      <c r="U26" s="95" t="s">
        <v>174</v>
      </c>
    </row>
    <row r="27" spans="1:32">
      <c r="A27" s="95" t="s">
        <v>273</v>
      </c>
      <c r="B27" s="105" t="s">
        <v>4</v>
      </c>
      <c r="C27" s="122">
        <v>56.7</v>
      </c>
      <c r="D27" s="95" t="s">
        <v>271</v>
      </c>
      <c r="E27" s="105" t="s">
        <v>4</v>
      </c>
      <c r="F27" s="123">
        <f t="shared" si="8"/>
        <v>2</v>
      </c>
      <c r="G27" s="95" t="s">
        <v>142</v>
      </c>
      <c r="K27" s="98" t="s">
        <v>274</v>
      </c>
      <c r="L27" s="97" t="s">
        <v>4</v>
      </c>
      <c r="M27" s="98" t="s">
        <v>275</v>
      </c>
      <c r="O27" s="95">
        <v>160</v>
      </c>
      <c r="P27" s="95" t="s">
        <v>169</v>
      </c>
      <c r="Q27" s="97" t="s">
        <v>4</v>
      </c>
      <c r="R27" s="103">
        <f t="shared" si="0"/>
        <v>71.111111111111043</v>
      </c>
      <c r="S27" s="95" t="s">
        <v>173</v>
      </c>
      <c r="T27" s="103">
        <f t="shared" si="1"/>
        <v>344.26111111111101</v>
      </c>
      <c r="U27" s="95" t="s">
        <v>174</v>
      </c>
    </row>
    <row r="28" spans="1:32" ht="21">
      <c r="A28" s="95" t="s">
        <v>253</v>
      </c>
      <c r="B28" s="105" t="s">
        <v>4</v>
      </c>
      <c r="C28" s="122">
        <v>225</v>
      </c>
      <c r="D28" s="95" t="s">
        <v>271</v>
      </c>
      <c r="E28" s="105" t="s">
        <v>4</v>
      </c>
      <c r="F28" s="123">
        <f t="shared" si="8"/>
        <v>7.9365079365079358</v>
      </c>
      <c r="G28" s="95" t="s">
        <v>142</v>
      </c>
      <c r="K28" s="203" t="s">
        <v>276</v>
      </c>
      <c r="L28" s="203"/>
      <c r="M28" s="203"/>
      <c r="O28" s="95">
        <v>165</v>
      </c>
      <c r="P28" s="95" t="s">
        <v>169</v>
      </c>
      <c r="Q28" s="97" t="s">
        <v>4</v>
      </c>
      <c r="R28" s="103">
        <f t="shared" si="0"/>
        <v>73.888888888888815</v>
      </c>
      <c r="S28" s="95" t="s">
        <v>173</v>
      </c>
      <c r="T28" s="103">
        <f t="shared" si="1"/>
        <v>347.03888888888878</v>
      </c>
      <c r="U28" s="95" t="s">
        <v>174</v>
      </c>
    </row>
    <row r="29" spans="1:32">
      <c r="A29" s="95" t="s">
        <v>277</v>
      </c>
      <c r="B29" s="105" t="s">
        <v>4</v>
      </c>
      <c r="C29" s="122">
        <v>113.4</v>
      </c>
      <c r="D29" s="95" t="s">
        <v>271</v>
      </c>
      <c r="E29" s="105" t="s">
        <v>4</v>
      </c>
      <c r="F29" s="123">
        <f t="shared" si="8"/>
        <v>4</v>
      </c>
      <c r="G29" s="95" t="s">
        <v>142</v>
      </c>
      <c r="K29" s="98" t="s">
        <v>278</v>
      </c>
      <c r="L29" s="97" t="s">
        <v>4</v>
      </c>
      <c r="M29" s="98" t="s">
        <v>275</v>
      </c>
      <c r="O29" s="95">
        <v>170</v>
      </c>
      <c r="P29" s="95" t="s">
        <v>169</v>
      </c>
      <c r="Q29" s="97" t="s">
        <v>4</v>
      </c>
      <c r="R29" s="103">
        <f t="shared" si="0"/>
        <v>76.6666666666666</v>
      </c>
      <c r="S29" s="95" t="s">
        <v>173</v>
      </c>
      <c r="T29" s="103">
        <f t="shared" si="1"/>
        <v>349.81666666666661</v>
      </c>
      <c r="U29" s="95" t="s">
        <v>174</v>
      </c>
    </row>
    <row r="30" spans="1:32" ht="17.25" customHeight="1">
      <c r="A30" s="95" t="s">
        <v>250</v>
      </c>
      <c r="B30" s="105" t="s">
        <v>4</v>
      </c>
      <c r="C30" s="122">
        <v>142</v>
      </c>
      <c r="D30" s="95" t="s">
        <v>271</v>
      </c>
      <c r="E30" s="105" t="s">
        <v>4</v>
      </c>
      <c r="F30" s="123">
        <f t="shared" si="8"/>
        <v>5.0088183421516757</v>
      </c>
      <c r="G30" s="95" t="s">
        <v>142</v>
      </c>
      <c r="O30" s="95">
        <v>175</v>
      </c>
      <c r="P30" s="95" t="s">
        <v>169</v>
      </c>
      <c r="Q30" s="97" t="s">
        <v>4</v>
      </c>
      <c r="R30" s="103">
        <f t="shared" si="0"/>
        <v>79.444444444444372</v>
      </c>
      <c r="S30" s="95" t="s">
        <v>173</v>
      </c>
      <c r="T30" s="103">
        <f t="shared" si="1"/>
        <v>352.59444444444432</v>
      </c>
      <c r="U30" s="95" t="s">
        <v>174</v>
      </c>
    </row>
    <row r="31" spans="1:32">
      <c r="A31" s="95" t="s">
        <v>245</v>
      </c>
      <c r="B31" s="105" t="s">
        <v>4</v>
      </c>
      <c r="C31" s="124">
        <v>47</v>
      </c>
      <c r="D31" s="95" t="s">
        <v>271</v>
      </c>
      <c r="E31" s="105" t="s">
        <v>4</v>
      </c>
      <c r="F31" s="123">
        <f t="shared" si="8"/>
        <v>1.6578483245149911</v>
      </c>
      <c r="G31" s="95" t="s">
        <v>142</v>
      </c>
      <c r="O31" s="95">
        <v>180</v>
      </c>
      <c r="P31" s="95" t="s">
        <v>169</v>
      </c>
      <c r="Q31" s="97" t="s">
        <v>4</v>
      </c>
      <c r="R31" s="103">
        <f t="shared" si="0"/>
        <v>82.222222222222143</v>
      </c>
      <c r="S31" s="95" t="s">
        <v>173</v>
      </c>
      <c r="T31" s="103">
        <f t="shared" si="1"/>
        <v>355.37222222222215</v>
      </c>
      <c r="U31" s="95" t="s">
        <v>174</v>
      </c>
    </row>
    <row r="32" spans="1:32">
      <c r="A32" s="95" t="s">
        <v>279</v>
      </c>
      <c r="B32" s="105" t="s">
        <v>4</v>
      </c>
      <c r="C32" s="122">
        <v>450</v>
      </c>
      <c r="D32" s="95" t="s">
        <v>271</v>
      </c>
      <c r="E32" s="105" t="s">
        <v>4</v>
      </c>
      <c r="F32" s="123">
        <f t="shared" si="8"/>
        <v>15.873015873015872</v>
      </c>
      <c r="G32" s="95" t="s">
        <v>142</v>
      </c>
      <c r="O32" s="95">
        <v>195</v>
      </c>
      <c r="P32" s="95" t="s">
        <v>169</v>
      </c>
      <c r="Q32" s="97" t="s">
        <v>4</v>
      </c>
      <c r="R32" s="103">
        <f t="shared" si="0"/>
        <v>90.555555555555472</v>
      </c>
      <c r="S32" s="95" t="s">
        <v>173</v>
      </c>
      <c r="T32" s="103">
        <f t="shared" si="1"/>
        <v>363.70555555555546</v>
      </c>
      <c r="U32" s="95" t="s">
        <v>174</v>
      </c>
    </row>
    <row r="34" spans="1:29" ht="21" customHeight="1">
      <c r="A34" s="203" t="s">
        <v>280</v>
      </c>
      <c r="B34" s="203"/>
    </row>
    <row r="36" spans="1:29" ht="15.75" customHeight="1">
      <c r="A36" s="204" t="s">
        <v>281</v>
      </c>
      <c r="B36" s="204"/>
      <c r="D36" s="125" t="s">
        <v>282</v>
      </c>
    </row>
    <row r="37" spans="1:29">
      <c r="A37" s="95" t="s">
        <v>283</v>
      </c>
      <c r="D37" s="95" t="s">
        <v>284</v>
      </c>
    </row>
    <row r="38" spans="1:29">
      <c r="D38" s="95" t="s">
        <v>285</v>
      </c>
    </row>
    <row r="39" spans="1:29">
      <c r="D39" s="95" t="s">
        <v>286</v>
      </c>
    </row>
    <row r="40" spans="1:29" ht="15.75">
      <c r="A40" s="204" t="s">
        <v>287</v>
      </c>
      <c r="B40" s="204"/>
      <c r="D40" s="204" t="s">
        <v>288</v>
      </c>
      <c r="E40" s="204"/>
    </row>
    <row r="41" spans="1:29">
      <c r="A41" s="95" t="s">
        <v>289</v>
      </c>
      <c r="D41" s="205" t="s">
        <v>290</v>
      </c>
      <c r="E41" s="205"/>
      <c r="F41" s="205"/>
      <c r="G41" s="205"/>
      <c r="H41" s="205"/>
      <c r="I41" s="205"/>
    </row>
    <row r="42" spans="1:29">
      <c r="A42" s="95" t="s">
        <v>291</v>
      </c>
      <c r="D42" s="205"/>
      <c r="E42" s="205"/>
      <c r="F42" s="205"/>
      <c r="G42" s="205"/>
      <c r="H42" s="205"/>
      <c r="I42" s="205"/>
    </row>
    <row r="43" spans="1:29">
      <c r="A43" s="95" t="s">
        <v>292</v>
      </c>
      <c r="D43" s="205"/>
      <c r="E43" s="205"/>
      <c r="F43" s="205"/>
      <c r="G43" s="205"/>
      <c r="H43" s="205"/>
      <c r="I43" s="205"/>
    </row>
    <row r="44" spans="1:29">
      <c r="A44" s="95" t="s">
        <v>293</v>
      </c>
    </row>
    <row r="45" spans="1:29">
      <c r="B45" s="126"/>
    </row>
    <row r="46" spans="1:29" ht="21">
      <c r="A46" s="203" t="s">
        <v>294</v>
      </c>
      <c r="B46" s="203"/>
      <c r="C46" s="203"/>
      <c r="D46" s="203"/>
      <c r="E46" s="203"/>
      <c r="F46" s="203"/>
      <c r="G46" s="203"/>
    </row>
    <row r="47" spans="1:29">
      <c r="A47" s="95" t="s">
        <v>170</v>
      </c>
      <c r="B47" s="97" t="s">
        <v>4</v>
      </c>
      <c r="C47" s="95" t="s">
        <v>183</v>
      </c>
      <c r="D47" s="127"/>
      <c r="E47" s="114" t="s">
        <v>295</v>
      </c>
    </row>
    <row r="48" spans="1:29">
      <c r="A48" s="95" t="s">
        <v>170</v>
      </c>
      <c r="B48" s="97" t="s">
        <v>4</v>
      </c>
      <c r="C48" s="95" t="s">
        <v>176</v>
      </c>
      <c r="E48" s="114" t="s">
        <v>296</v>
      </c>
      <c r="AC48" s="114"/>
    </row>
    <row r="49" spans="1:29">
      <c r="A49" s="95" t="s">
        <v>176</v>
      </c>
      <c r="B49" s="97" t="s">
        <v>4</v>
      </c>
      <c r="C49" s="95" t="s">
        <v>183</v>
      </c>
      <c r="E49" s="114" t="s">
        <v>297</v>
      </c>
      <c r="AC49" s="114"/>
    </row>
    <row r="50" spans="1:29">
      <c r="A50" s="95" t="s">
        <v>176</v>
      </c>
      <c r="B50" s="97" t="s">
        <v>4</v>
      </c>
      <c r="C50" s="95" t="s">
        <v>170</v>
      </c>
      <c r="E50" s="114" t="s">
        <v>298</v>
      </c>
    </row>
    <row r="51" spans="1:29">
      <c r="A51" s="95" t="s">
        <v>183</v>
      </c>
      <c r="B51" s="97" t="s">
        <v>4</v>
      </c>
      <c r="C51" s="95" t="s">
        <v>176</v>
      </c>
      <c r="E51" s="114" t="s">
        <v>299</v>
      </c>
    </row>
    <row r="52" spans="1:29">
      <c r="A52" s="95" t="s">
        <v>183</v>
      </c>
      <c r="B52" s="97" t="s">
        <v>4</v>
      </c>
      <c r="C52" s="95" t="s">
        <v>170</v>
      </c>
      <c r="E52" s="114" t="s">
        <v>300</v>
      </c>
    </row>
    <row r="53" spans="1:29">
      <c r="A53" s="95" t="s">
        <v>168</v>
      </c>
      <c r="B53" s="97" t="s">
        <v>4</v>
      </c>
      <c r="C53" s="95" t="s">
        <v>175</v>
      </c>
      <c r="E53" s="127" t="s">
        <v>301</v>
      </c>
      <c r="F53" s="123">
        <v>16</v>
      </c>
    </row>
    <row r="54" spans="1:29">
      <c r="A54" s="95" t="s">
        <v>168</v>
      </c>
      <c r="B54" s="97" t="s">
        <v>4</v>
      </c>
      <c r="C54" s="95" t="s">
        <v>233</v>
      </c>
      <c r="E54" s="127" t="s">
        <v>301</v>
      </c>
      <c r="F54" s="128">
        <v>453.59199999999998</v>
      </c>
    </row>
    <row r="55" spans="1:29">
      <c r="A55" s="95" t="s">
        <v>168</v>
      </c>
      <c r="B55" s="97" t="s">
        <v>4</v>
      </c>
      <c r="C55" s="95" t="s">
        <v>302</v>
      </c>
      <c r="E55" s="127" t="s">
        <v>301</v>
      </c>
      <c r="F55" s="123">
        <v>453600</v>
      </c>
    </row>
    <row r="56" spans="1:29">
      <c r="A56" s="95" t="s">
        <v>168</v>
      </c>
      <c r="B56" s="97" t="s">
        <v>4</v>
      </c>
      <c r="C56" s="95" t="s">
        <v>303</v>
      </c>
      <c r="E56" s="127" t="s">
        <v>304</v>
      </c>
      <c r="F56" s="128">
        <v>2.2050000000000001</v>
      </c>
    </row>
    <row r="57" spans="1:29">
      <c r="A57" s="95" t="s">
        <v>175</v>
      </c>
      <c r="B57" s="97" t="s">
        <v>4</v>
      </c>
      <c r="C57" s="95" t="s">
        <v>168</v>
      </c>
      <c r="E57" s="127" t="s">
        <v>304</v>
      </c>
      <c r="F57" s="123">
        <v>16</v>
      </c>
    </row>
    <row r="58" spans="1:29">
      <c r="A58" s="95" t="s">
        <v>175</v>
      </c>
      <c r="B58" s="97" t="s">
        <v>4</v>
      </c>
      <c r="C58" s="95" t="s">
        <v>266</v>
      </c>
      <c r="E58" s="127" t="s">
        <v>301</v>
      </c>
      <c r="F58" s="129">
        <v>28.35</v>
      </c>
    </row>
    <row r="59" spans="1:29">
      <c r="A59" s="95" t="s">
        <v>175</v>
      </c>
      <c r="B59" s="97" t="s">
        <v>4</v>
      </c>
      <c r="C59" s="95" t="s">
        <v>239</v>
      </c>
      <c r="E59" s="127" t="s">
        <v>301</v>
      </c>
      <c r="F59" s="123">
        <v>28350</v>
      </c>
    </row>
    <row r="60" spans="1:29">
      <c r="A60" s="95" t="s">
        <v>175</v>
      </c>
      <c r="B60" s="97" t="s">
        <v>4</v>
      </c>
      <c r="C60" s="95" t="s">
        <v>243</v>
      </c>
      <c r="E60" s="127" t="s">
        <v>304</v>
      </c>
      <c r="F60" s="128">
        <v>35.274000000000001</v>
      </c>
      <c r="N60" s="121"/>
      <c r="O60" s="121"/>
      <c r="P60" s="121"/>
      <c r="Q60" s="121"/>
      <c r="R60" s="121"/>
      <c r="S60" s="121"/>
    </row>
    <row r="61" spans="1:29">
      <c r="A61" s="95" t="s">
        <v>233</v>
      </c>
      <c r="B61" s="97" t="s">
        <v>4</v>
      </c>
      <c r="C61" s="95" t="s">
        <v>243</v>
      </c>
      <c r="E61" s="127" t="s">
        <v>304</v>
      </c>
      <c r="F61" s="123">
        <v>1000</v>
      </c>
    </row>
    <row r="62" spans="1:29">
      <c r="A62" s="95" t="s">
        <v>233</v>
      </c>
      <c r="B62" s="97" t="s">
        <v>4</v>
      </c>
      <c r="C62" s="95" t="s">
        <v>168</v>
      </c>
      <c r="E62" s="127" t="s">
        <v>304</v>
      </c>
      <c r="F62" s="130">
        <v>453.6</v>
      </c>
    </row>
    <row r="63" spans="1:29">
      <c r="A63" s="95" t="s">
        <v>233</v>
      </c>
      <c r="B63" s="97" t="s">
        <v>4</v>
      </c>
      <c r="C63" s="95" t="s">
        <v>175</v>
      </c>
      <c r="E63" s="127" t="s">
        <v>304</v>
      </c>
      <c r="F63" s="129">
        <v>28.35</v>
      </c>
    </row>
    <row r="64" spans="1:29">
      <c r="A64" s="95" t="s">
        <v>233</v>
      </c>
      <c r="B64" s="97" t="s">
        <v>4</v>
      </c>
      <c r="C64" s="95" t="s">
        <v>239</v>
      </c>
      <c r="E64" s="127" t="s">
        <v>301</v>
      </c>
      <c r="F64" s="130">
        <v>1000</v>
      </c>
    </row>
    <row r="65" spans="1:6">
      <c r="A65" s="95" t="s">
        <v>243</v>
      </c>
      <c r="B65" s="97" t="s">
        <v>4</v>
      </c>
      <c r="C65" s="95" t="s">
        <v>168</v>
      </c>
      <c r="E65" s="127" t="s">
        <v>301</v>
      </c>
      <c r="F65" s="128">
        <v>2.2050000000000001</v>
      </c>
    </row>
    <row r="66" spans="1:6">
      <c r="A66" s="95" t="s">
        <v>243</v>
      </c>
      <c r="B66" s="97" t="s">
        <v>4</v>
      </c>
      <c r="C66" s="95" t="s">
        <v>175</v>
      </c>
      <c r="E66" s="127" t="s">
        <v>301</v>
      </c>
      <c r="F66" s="128">
        <v>35.274000000000001</v>
      </c>
    </row>
    <row r="67" spans="1:6">
      <c r="A67" s="95" t="s">
        <v>243</v>
      </c>
      <c r="B67" s="97"/>
      <c r="C67" s="95" t="s">
        <v>233</v>
      </c>
      <c r="E67" s="127" t="s">
        <v>301</v>
      </c>
      <c r="F67" s="123">
        <v>1000</v>
      </c>
    </row>
    <row r="68" spans="1:6">
      <c r="A68" s="95" t="s">
        <v>243</v>
      </c>
      <c r="B68" s="97"/>
      <c r="C68" s="95" t="s">
        <v>239</v>
      </c>
      <c r="E68" s="127" t="s">
        <v>301</v>
      </c>
      <c r="F68" s="123">
        <v>1000000</v>
      </c>
    </row>
  </sheetData>
  <mergeCells count="23">
    <mergeCell ref="A36:B36"/>
    <mergeCell ref="A40:B40"/>
    <mergeCell ref="D40:E40"/>
    <mergeCell ref="D41:I43"/>
    <mergeCell ref="A46:G46"/>
    <mergeCell ref="A34:B34"/>
    <mergeCell ref="D7:E7"/>
    <mergeCell ref="G9:I9"/>
    <mergeCell ref="K9:M9"/>
    <mergeCell ref="G14:I14"/>
    <mergeCell ref="K14:M14"/>
    <mergeCell ref="G18:I18"/>
    <mergeCell ref="K20:M20"/>
    <mergeCell ref="A24:F24"/>
    <mergeCell ref="K24:M24"/>
    <mergeCell ref="K26:M26"/>
    <mergeCell ref="K28:M28"/>
    <mergeCell ref="A1:B1"/>
    <mergeCell ref="D1:E1"/>
    <mergeCell ref="G1:M1"/>
    <mergeCell ref="O1:AF1"/>
    <mergeCell ref="G3:I3"/>
    <mergeCell ref="K3:M3"/>
  </mergeCells>
  <dataValidations count="2">
    <dataValidation type="list" allowBlank="1" showInputMessage="1" showErrorMessage="1" sqref="A47:A52 C47:C52" xr:uid="{30AC9CFC-9CD5-4ABC-83FB-88FB7794D4BD}">
      <formula1>Temperature</formula1>
    </dataValidation>
    <dataValidation type="list" allowBlank="1" showInputMessage="1" showErrorMessage="1" sqref="A53:A68 C53:C68" xr:uid="{399537D4-0213-4D3A-B515-67F36D325B85}">
      <formula1>UnitW</formula1>
    </dataValidation>
  </dataValidations>
  <pageMargins left="0.7" right="0.7" top="0.75" bottom="0.75" header="0.3" footer="0.3"/>
  <pageSetup scale="85" fitToWidth="2" fitToHeight="2" orientation="landscape" horizontalDpi="0" verticalDpi="0" r:id="rId1"/>
  <rowBreaks count="1" manualBreakCount="1">
    <brk id="33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A915C-9851-4FAF-8CE5-DF5D13CAB807}">
  <sheetPr codeName="Sheet8">
    <tabColor theme="6" tint="0.39997558519241921"/>
  </sheetPr>
  <dimension ref="A1:I13"/>
  <sheetViews>
    <sheetView showGridLines="0" workbookViewId="0">
      <selection sqref="A1:H1"/>
    </sheetView>
  </sheetViews>
  <sheetFormatPr defaultRowHeight="15"/>
  <cols>
    <col min="1" max="1" width="2.5703125" customWidth="1"/>
    <col min="2" max="2" width="11.28515625" customWidth="1"/>
    <col min="4" max="4" width="16.85546875" customWidth="1"/>
    <col min="5" max="5" width="7.5703125" customWidth="1"/>
    <col min="7" max="7" width="16.7109375" customWidth="1"/>
  </cols>
  <sheetData>
    <row r="1" spans="1:9" ht="26.25">
      <c r="A1" s="206" t="str">
        <f ca="1">RIGHT(CELL("filename",D2),LEN(CELL("filename",D2))-FIND("]",CELL("filename",D2)))</f>
        <v>Scoop Size</v>
      </c>
      <c r="B1" s="206"/>
      <c r="C1" s="206"/>
      <c r="D1" s="206"/>
      <c r="E1" s="206"/>
      <c r="F1" s="206"/>
      <c r="G1" s="206"/>
      <c r="H1" s="206"/>
      <c r="I1" s="131"/>
    </row>
    <row r="2" spans="1:9" ht="20.25" thickBot="1">
      <c r="A2" s="207" t="s">
        <v>305</v>
      </c>
      <c r="B2" s="207"/>
      <c r="C2" s="207"/>
      <c r="D2" s="207"/>
      <c r="F2" s="207" t="s">
        <v>306</v>
      </c>
      <c r="G2" s="207"/>
    </row>
    <row r="3" spans="1:9" ht="36" thickTop="1" thickBot="1">
      <c r="A3" s="44"/>
      <c r="B3" s="132" t="s">
        <v>307</v>
      </c>
      <c r="C3" s="133" t="s">
        <v>63</v>
      </c>
      <c r="D3" s="132" t="s">
        <v>308</v>
      </c>
      <c r="E3" s="134"/>
      <c r="F3" s="133" t="s">
        <v>63</v>
      </c>
      <c r="G3" s="132" t="s">
        <v>308</v>
      </c>
    </row>
    <row r="4" spans="1:9" ht="15.75" thickTop="1">
      <c r="B4" s="135">
        <v>6</v>
      </c>
      <c r="C4" s="135" t="s">
        <v>309</v>
      </c>
      <c r="D4" s="135" t="s">
        <v>310</v>
      </c>
      <c r="F4" s="135" t="s">
        <v>311</v>
      </c>
      <c r="G4" s="135" t="s">
        <v>312</v>
      </c>
    </row>
    <row r="5" spans="1:9">
      <c r="B5" s="135">
        <v>8</v>
      </c>
      <c r="C5" s="135" t="s">
        <v>313</v>
      </c>
      <c r="D5" s="135" t="s">
        <v>314</v>
      </c>
      <c r="F5" s="135" t="s">
        <v>315</v>
      </c>
      <c r="G5" s="135" t="s">
        <v>316</v>
      </c>
    </row>
    <row r="6" spans="1:9">
      <c r="B6" s="135">
        <v>10</v>
      </c>
      <c r="C6" s="135" t="s">
        <v>317</v>
      </c>
      <c r="D6" s="135" t="s">
        <v>318</v>
      </c>
      <c r="F6" s="135" t="s">
        <v>319</v>
      </c>
      <c r="G6" s="135" t="s">
        <v>320</v>
      </c>
    </row>
    <row r="7" spans="1:9">
      <c r="B7" s="135">
        <v>12</v>
      </c>
      <c r="C7" s="135" t="s">
        <v>179</v>
      </c>
      <c r="D7" s="135" t="s">
        <v>321</v>
      </c>
      <c r="F7" s="135" t="s">
        <v>322</v>
      </c>
      <c r="G7" s="135" t="s">
        <v>323</v>
      </c>
    </row>
    <row r="8" spans="1:9">
      <c r="B8" s="135">
        <v>16</v>
      </c>
      <c r="C8" s="135" t="s">
        <v>211</v>
      </c>
      <c r="D8" s="135" t="s">
        <v>324</v>
      </c>
      <c r="F8" s="135" t="s">
        <v>325</v>
      </c>
      <c r="G8" s="135" t="s">
        <v>326</v>
      </c>
    </row>
    <row r="9" spans="1:9">
      <c r="B9" s="135">
        <v>20</v>
      </c>
      <c r="C9" s="135" t="s">
        <v>327</v>
      </c>
      <c r="D9" s="135" t="s">
        <v>328</v>
      </c>
      <c r="F9" s="135" t="s">
        <v>329</v>
      </c>
      <c r="G9" s="135" t="s">
        <v>330</v>
      </c>
    </row>
    <row r="10" spans="1:9">
      <c r="B10" s="135">
        <v>24</v>
      </c>
      <c r="C10" s="135" t="s">
        <v>331</v>
      </c>
      <c r="D10" s="135" t="s">
        <v>331</v>
      </c>
      <c r="F10" s="135" t="s">
        <v>332</v>
      </c>
      <c r="G10" s="135" t="s">
        <v>333</v>
      </c>
    </row>
    <row r="11" spans="1:9">
      <c r="B11" s="135">
        <v>30</v>
      </c>
      <c r="C11" s="135" t="s">
        <v>334</v>
      </c>
      <c r="D11" s="135" t="s">
        <v>335</v>
      </c>
      <c r="F11" s="135" t="s">
        <v>336</v>
      </c>
      <c r="G11" s="135" t="s">
        <v>337</v>
      </c>
    </row>
    <row r="12" spans="1:9">
      <c r="B12" s="135">
        <v>40</v>
      </c>
      <c r="C12" s="135" t="s">
        <v>338</v>
      </c>
      <c r="D12" s="135" t="s">
        <v>339</v>
      </c>
      <c r="F12" s="135" t="s">
        <v>340</v>
      </c>
      <c r="G12" s="135" t="s">
        <v>341</v>
      </c>
    </row>
    <row r="13" spans="1:9">
      <c r="B13" s="135">
        <v>60</v>
      </c>
      <c r="C13" s="135" t="s">
        <v>342</v>
      </c>
      <c r="D13" s="135" t="s">
        <v>343</v>
      </c>
      <c r="F13" s="135" t="s">
        <v>344</v>
      </c>
      <c r="G13" s="135" t="s">
        <v>345</v>
      </c>
    </row>
  </sheetData>
  <mergeCells count="3">
    <mergeCell ref="A1:H1"/>
    <mergeCell ref="A2:D2"/>
    <mergeCell ref="F2:G2"/>
  </mergeCells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95D8F-C1BB-401E-A7F3-D459A7BA921E}">
  <sheetPr codeName="Sheet9"/>
  <dimension ref="A1:G24"/>
  <sheetViews>
    <sheetView showGridLines="0" workbookViewId="0">
      <selection activeCell="J10" sqref="J10"/>
    </sheetView>
  </sheetViews>
  <sheetFormatPr defaultRowHeight="15"/>
  <cols>
    <col min="1" max="1" width="83.140625" customWidth="1"/>
    <col min="3" max="3" width="2.5703125" customWidth="1"/>
    <col min="6" max="6" width="2.28515625" customWidth="1"/>
    <col min="7" max="7" width="61.42578125" customWidth="1"/>
  </cols>
  <sheetData>
    <row r="1" spans="1:7" ht="23.25">
      <c r="A1" s="208" t="str">
        <f ca="1">RIGHT(CELL("filename",D2),LEN(CELL("filename",D2))-FIND("]",CELL("filename",D2)))</f>
        <v>Minimum Internal Temperatures</v>
      </c>
      <c r="B1" s="208"/>
      <c r="C1" s="208"/>
      <c r="D1" s="208"/>
      <c r="E1" s="208"/>
      <c r="F1" s="208"/>
      <c r="G1" s="208"/>
    </row>
    <row r="2" spans="1:7">
      <c r="A2" s="136"/>
      <c r="B2" s="136"/>
      <c r="C2" s="136"/>
      <c r="D2" s="136"/>
      <c r="E2" s="136"/>
      <c r="F2" s="136"/>
    </row>
    <row r="3" spans="1:7" ht="20.25" thickBot="1">
      <c r="A3" s="137" t="s">
        <v>346</v>
      </c>
      <c r="B3" s="138" t="s">
        <v>347</v>
      </c>
      <c r="C3" s="139"/>
      <c r="D3" s="139"/>
      <c r="E3" s="140" t="s">
        <v>348</v>
      </c>
      <c r="F3" s="139"/>
      <c r="G3" s="140" t="s">
        <v>84</v>
      </c>
    </row>
    <row r="4" spans="1:7" ht="16.5" thickTop="1">
      <c r="A4" s="141" t="s">
        <v>349</v>
      </c>
      <c r="B4" s="142" t="s">
        <v>350</v>
      </c>
      <c r="C4" s="143"/>
      <c r="D4" s="143"/>
      <c r="E4" s="142" t="s">
        <v>351</v>
      </c>
      <c r="F4" s="143"/>
      <c r="G4" s="142" t="s">
        <v>352</v>
      </c>
    </row>
    <row r="5" spans="1:7" ht="15.75">
      <c r="A5" s="141"/>
      <c r="B5" s="142"/>
      <c r="C5" s="143"/>
      <c r="D5" s="143"/>
      <c r="E5" s="142"/>
      <c r="F5" s="143"/>
      <c r="G5" s="142"/>
    </row>
    <row r="6" spans="1:7" ht="15.75">
      <c r="A6" s="141" t="s">
        <v>353</v>
      </c>
      <c r="B6" s="142" t="s">
        <v>354</v>
      </c>
      <c r="C6" s="143"/>
      <c r="D6" s="143"/>
      <c r="E6" s="142" t="s">
        <v>355</v>
      </c>
      <c r="F6" s="143"/>
      <c r="G6" s="142" t="s">
        <v>352</v>
      </c>
    </row>
    <row r="7" spans="1:7" ht="15.75">
      <c r="A7" s="141"/>
      <c r="B7" s="142"/>
      <c r="C7" s="143"/>
      <c r="D7" s="143"/>
      <c r="E7" s="142"/>
      <c r="F7" s="143"/>
      <c r="G7" s="142"/>
    </row>
    <row r="8" spans="1:7" ht="31.5">
      <c r="A8" s="144" t="s">
        <v>356</v>
      </c>
      <c r="B8" s="142" t="s">
        <v>357</v>
      </c>
      <c r="C8" s="143"/>
      <c r="D8" s="143"/>
      <c r="E8" s="142" t="s">
        <v>358</v>
      </c>
      <c r="F8" s="143"/>
      <c r="G8" s="142" t="s">
        <v>352</v>
      </c>
    </row>
    <row r="9" spans="1:7" ht="15.75">
      <c r="A9" s="141"/>
      <c r="B9" s="142"/>
      <c r="C9" s="143"/>
      <c r="D9" s="143"/>
      <c r="E9" s="142"/>
      <c r="F9" s="143"/>
      <c r="G9" s="142"/>
    </row>
    <row r="10" spans="1:7" ht="47.25">
      <c r="A10" s="144" t="s">
        <v>359</v>
      </c>
      <c r="B10" s="142" t="s">
        <v>360</v>
      </c>
      <c r="C10" s="143"/>
      <c r="D10" s="143"/>
      <c r="E10" s="142" t="s">
        <v>361</v>
      </c>
      <c r="F10" s="143"/>
      <c r="G10" s="142" t="s">
        <v>352</v>
      </c>
    </row>
    <row r="11" spans="1:7" ht="15.75">
      <c r="A11" s="145"/>
      <c r="B11" s="142"/>
      <c r="C11" s="143"/>
      <c r="D11" s="143"/>
      <c r="E11" s="142"/>
      <c r="F11" s="143"/>
      <c r="G11" s="143"/>
    </row>
    <row r="12" spans="1:7" ht="45">
      <c r="A12" s="144" t="s">
        <v>362</v>
      </c>
      <c r="B12" s="142" t="s">
        <v>360</v>
      </c>
      <c r="C12" s="143"/>
      <c r="D12" s="143"/>
      <c r="E12" s="142" t="s">
        <v>361</v>
      </c>
      <c r="F12" s="143"/>
      <c r="G12" s="146" t="s">
        <v>363</v>
      </c>
    </row>
    <row r="13" spans="1:7">
      <c r="A13" s="147"/>
      <c r="B13" s="147"/>
      <c r="C13" s="147"/>
      <c r="D13" s="147"/>
      <c r="E13" s="147"/>
      <c r="F13" s="147"/>
      <c r="G13" s="147"/>
    </row>
    <row r="14" spans="1:7" ht="30" customHeight="1">
      <c r="A14" s="144" t="s">
        <v>364</v>
      </c>
      <c r="B14" s="209" t="s">
        <v>365</v>
      </c>
      <c r="C14" s="209"/>
      <c r="D14" s="209"/>
      <c r="E14" s="209"/>
      <c r="F14" s="209"/>
      <c r="G14" s="209"/>
    </row>
    <row r="15" spans="1:7">
      <c r="A15" s="147"/>
      <c r="B15" s="142" t="s">
        <v>366</v>
      </c>
      <c r="C15" s="143"/>
      <c r="D15" s="143"/>
      <c r="E15" s="142" t="s">
        <v>367</v>
      </c>
      <c r="F15" s="143"/>
      <c r="G15" s="146"/>
    </row>
    <row r="16" spans="1:7">
      <c r="A16" s="147"/>
      <c r="B16" s="142" t="s">
        <v>368</v>
      </c>
      <c r="C16" s="143"/>
      <c r="D16" s="143"/>
      <c r="E16" s="142" t="s">
        <v>369</v>
      </c>
      <c r="F16" s="143"/>
      <c r="G16" s="146"/>
    </row>
    <row r="17" spans="1:7">
      <c r="A17" s="147"/>
      <c r="B17" s="142" t="s">
        <v>370</v>
      </c>
      <c r="C17" s="143"/>
      <c r="D17" s="143"/>
      <c r="E17" s="142" t="s">
        <v>371</v>
      </c>
      <c r="F17" s="143"/>
      <c r="G17" s="146"/>
    </row>
    <row r="18" spans="1:7">
      <c r="A18" s="147"/>
      <c r="B18" s="142" t="s">
        <v>372</v>
      </c>
      <c r="C18" s="143"/>
      <c r="D18" s="143"/>
      <c r="E18" s="142" t="s">
        <v>373</v>
      </c>
      <c r="F18" s="143"/>
      <c r="G18" s="146"/>
    </row>
    <row r="19" spans="1:7">
      <c r="A19" s="147"/>
      <c r="B19" s="142" t="s">
        <v>374</v>
      </c>
      <c r="C19" s="143"/>
      <c r="D19" s="143"/>
      <c r="E19" s="142" t="s">
        <v>375</v>
      </c>
      <c r="F19" s="143"/>
      <c r="G19" s="146"/>
    </row>
    <row r="20" spans="1:7">
      <c r="A20" s="147"/>
      <c r="B20" s="142" t="s">
        <v>376</v>
      </c>
      <c r="C20" s="143"/>
      <c r="D20" s="143"/>
      <c r="E20" s="142" t="s">
        <v>377</v>
      </c>
      <c r="F20" s="143"/>
      <c r="G20" s="146"/>
    </row>
    <row r="21" spans="1:7">
      <c r="A21" s="147"/>
      <c r="B21" s="142" t="s">
        <v>378</v>
      </c>
      <c r="C21" s="143"/>
      <c r="D21" s="143"/>
      <c r="E21" s="142" t="s">
        <v>379</v>
      </c>
      <c r="F21" s="143"/>
      <c r="G21" s="146"/>
    </row>
    <row r="22" spans="1:7">
      <c r="A22" s="147"/>
      <c r="B22" s="142" t="s">
        <v>380</v>
      </c>
      <c r="C22" s="143"/>
      <c r="D22" s="143"/>
      <c r="E22" s="142" t="s">
        <v>381</v>
      </c>
      <c r="F22" s="143"/>
      <c r="G22" s="146"/>
    </row>
    <row r="23" spans="1:7">
      <c r="A23" s="147"/>
      <c r="B23" s="142" t="s">
        <v>382</v>
      </c>
      <c r="C23" s="143"/>
      <c r="D23" s="143"/>
      <c r="E23" s="142" t="s">
        <v>383</v>
      </c>
      <c r="F23" s="143"/>
      <c r="G23" s="146"/>
    </row>
    <row r="24" spans="1:7">
      <c r="A24" s="147"/>
      <c r="B24" s="142" t="s">
        <v>350</v>
      </c>
      <c r="C24" s="143"/>
      <c r="D24" s="143"/>
      <c r="E24" s="142" t="s">
        <v>384</v>
      </c>
      <c r="F24" s="143"/>
      <c r="G24" s="146"/>
    </row>
  </sheetData>
  <mergeCells count="2">
    <mergeCell ref="A1:G1"/>
    <mergeCell ref="B14:G14"/>
  </mergeCells>
  <pageMargins left="0.7" right="0.7" top="0.75" bottom="0.75" header="0.3" footer="0.3"/>
  <pageSetup orientation="landscape" horizontalDpi="0" verticalDpi="0" r:id="rId1"/>
  <rowBreaks count="1" manualBreakCount="1">
    <brk id="24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51D28-7588-49C3-8DED-1AB191A9F001}">
  <sheetPr codeName="Sheet6"/>
  <dimension ref="A1:G8"/>
  <sheetViews>
    <sheetView showGridLines="0" workbookViewId="0">
      <selection sqref="A1:G1"/>
    </sheetView>
  </sheetViews>
  <sheetFormatPr defaultRowHeight="15"/>
  <cols>
    <col min="1" max="1" width="30" customWidth="1"/>
  </cols>
  <sheetData>
    <row r="1" spans="1:7" ht="24">
      <c r="A1" s="210" t="str">
        <f ca="1">RIGHT(CELL("filename",D2),LEN(CELL("filename",D2))-FIND("]",CELL("filename",D2)))</f>
        <v>Food Storage Temperatures</v>
      </c>
      <c r="B1" s="210"/>
      <c r="C1" s="210"/>
      <c r="D1" s="210"/>
      <c r="E1" s="210"/>
      <c r="F1" s="210"/>
      <c r="G1" s="210"/>
    </row>
    <row r="2" spans="1:7">
      <c r="A2" s="136"/>
      <c r="B2" s="136"/>
      <c r="C2" s="136"/>
      <c r="D2" s="136"/>
      <c r="E2" s="136"/>
      <c r="F2" s="136"/>
    </row>
    <row r="3" spans="1:7" ht="20.25" thickBot="1">
      <c r="A3" s="148" t="s">
        <v>346</v>
      </c>
      <c r="B3" s="211" t="s">
        <v>347</v>
      </c>
      <c r="C3" s="211"/>
      <c r="D3" s="211"/>
      <c r="E3" s="211" t="s">
        <v>348</v>
      </c>
      <c r="F3" s="211"/>
      <c r="G3" s="211"/>
    </row>
    <row r="4" spans="1:7" ht="16.5" thickTop="1">
      <c r="A4" s="149" t="s">
        <v>385</v>
      </c>
      <c r="B4" s="150" t="s">
        <v>386</v>
      </c>
      <c r="C4" s="150" t="s">
        <v>387</v>
      </c>
      <c r="D4" s="150" t="s">
        <v>388</v>
      </c>
      <c r="E4" s="150" t="s">
        <v>389</v>
      </c>
      <c r="F4" s="150" t="s">
        <v>387</v>
      </c>
      <c r="G4" s="150" t="s">
        <v>390</v>
      </c>
    </row>
    <row r="5" spans="1:7" ht="15.75">
      <c r="A5" s="149" t="s">
        <v>391</v>
      </c>
      <c r="B5" s="150" t="s">
        <v>392</v>
      </c>
      <c r="C5" s="150" t="s">
        <v>387</v>
      </c>
      <c r="D5" s="150" t="s">
        <v>386</v>
      </c>
      <c r="E5" s="150" t="s">
        <v>393</v>
      </c>
      <c r="F5" s="150" t="s">
        <v>387</v>
      </c>
      <c r="G5" s="150" t="s">
        <v>389</v>
      </c>
    </row>
    <row r="6" spans="1:7" ht="15.75">
      <c r="A6" s="149" t="s">
        <v>394</v>
      </c>
      <c r="B6" s="150" t="s">
        <v>395</v>
      </c>
      <c r="C6" s="150" t="s">
        <v>387</v>
      </c>
      <c r="D6" s="150" t="s">
        <v>386</v>
      </c>
      <c r="E6" s="150" t="s">
        <v>396</v>
      </c>
      <c r="F6" s="150" t="s">
        <v>387</v>
      </c>
      <c r="G6" s="150" t="s">
        <v>389</v>
      </c>
    </row>
    <row r="7" spans="1:7" ht="15.75">
      <c r="A7" s="149" t="s">
        <v>397</v>
      </c>
      <c r="B7" s="150" t="s">
        <v>398</v>
      </c>
      <c r="C7" s="150" t="s">
        <v>387</v>
      </c>
      <c r="D7" s="150" t="s">
        <v>395</v>
      </c>
      <c r="E7" s="150" t="s">
        <v>399</v>
      </c>
      <c r="F7" s="150" t="s">
        <v>387</v>
      </c>
      <c r="G7" s="150" t="s">
        <v>396</v>
      </c>
    </row>
    <row r="8" spans="1:7" ht="15.75">
      <c r="A8" s="149" t="s">
        <v>400</v>
      </c>
      <c r="B8" s="150" t="s">
        <v>401</v>
      </c>
      <c r="C8" s="150" t="s">
        <v>387</v>
      </c>
      <c r="D8" s="150" t="s">
        <v>402</v>
      </c>
      <c r="E8" s="150" t="s">
        <v>403</v>
      </c>
      <c r="F8" s="150" t="s">
        <v>387</v>
      </c>
      <c r="G8" s="150" t="s">
        <v>404</v>
      </c>
    </row>
  </sheetData>
  <mergeCells count="3">
    <mergeCell ref="A1:G1"/>
    <mergeCell ref="B3:D3"/>
    <mergeCell ref="E3:G3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EFD39-8C9A-45BF-B490-EBC831CE9CD5}">
  <sheetPr codeName="Sheet11">
    <tabColor theme="8" tint="0.59999389629810485"/>
  </sheetPr>
  <dimension ref="A1:P22"/>
  <sheetViews>
    <sheetView showGridLines="0" workbookViewId="0">
      <selection activeCell="K8" sqref="K8"/>
    </sheetView>
  </sheetViews>
  <sheetFormatPr defaultRowHeight="15"/>
  <cols>
    <col min="1" max="1" width="12.140625" customWidth="1"/>
    <col min="2" max="2" width="11.85546875" customWidth="1"/>
    <col min="3" max="3" width="26" customWidth="1"/>
    <col min="5" max="6" width="13.28515625" customWidth="1"/>
    <col min="7" max="7" width="8.28515625" customWidth="1"/>
    <col min="8" max="8" width="12" customWidth="1"/>
  </cols>
  <sheetData>
    <row r="1" spans="1:16" ht="26.25">
      <c r="A1" s="206" t="str">
        <f ca="1">RIGHT(CELL("filename",D2),LEN(CELL("filename",D2))-FIND("]",CELL("filename",D2)))</f>
        <v>Options</v>
      </c>
      <c r="B1" s="206"/>
      <c r="C1" s="206"/>
      <c r="D1" s="206"/>
      <c r="E1" s="206"/>
      <c r="F1" s="206"/>
      <c r="G1" s="206"/>
      <c r="H1" s="206"/>
    </row>
    <row r="2" spans="1:16" ht="19.5">
      <c r="A2" s="151" t="s">
        <v>405</v>
      </c>
      <c r="B2" s="151" t="s">
        <v>62</v>
      </c>
      <c r="C2" s="151" t="s">
        <v>406</v>
      </c>
      <c r="D2" s="151" t="s">
        <v>407</v>
      </c>
      <c r="E2" s="212" t="s">
        <v>408</v>
      </c>
      <c r="F2" s="212"/>
      <c r="G2" s="212" t="s">
        <v>409</v>
      </c>
      <c r="H2" s="212"/>
      <c r="P2" t="s">
        <v>197</v>
      </c>
    </row>
    <row r="3" spans="1:16">
      <c r="A3" s="152" t="s">
        <v>410</v>
      </c>
      <c r="B3" s="152" t="s">
        <v>411</v>
      </c>
      <c r="C3" s="152" t="s">
        <v>412</v>
      </c>
      <c r="D3" s="57" t="s">
        <v>413</v>
      </c>
      <c r="E3" s="114" t="s">
        <v>197</v>
      </c>
      <c r="F3" s="104" t="s">
        <v>414</v>
      </c>
      <c r="G3" s="135" t="s">
        <v>415</v>
      </c>
      <c r="H3" s="104" t="s">
        <v>170</v>
      </c>
      <c r="P3" t="s">
        <v>416</v>
      </c>
    </row>
    <row r="4" spans="1:16">
      <c r="A4" s="152" t="s">
        <v>417</v>
      </c>
      <c r="B4" s="152" t="s">
        <v>418</v>
      </c>
      <c r="C4" s="152" t="s">
        <v>419</v>
      </c>
      <c r="D4" s="57" t="s">
        <v>420</v>
      </c>
      <c r="E4" s="114" t="s">
        <v>248</v>
      </c>
      <c r="F4" s="104" t="s">
        <v>421</v>
      </c>
      <c r="G4" s="135" t="s">
        <v>422</v>
      </c>
      <c r="H4" s="104" t="s">
        <v>176</v>
      </c>
      <c r="P4" t="s">
        <v>79</v>
      </c>
    </row>
    <row r="5" spans="1:16">
      <c r="A5" s="152" t="s">
        <v>423</v>
      </c>
      <c r="C5" s="152" t="s">
        <v>424</v>
      </c>
      <c r="D5" s="57" t="s">
        <v>425</v>
      </c>
      <c r="E5" s="104" t="s">
        <v>416</v>
      </c>
      <c r="F5" s="104" t="s">
        <v>426</v>
      </c>
      <c r="G5" s="153" t="s">
        <v>174</v>
      </c>
      <c r="H5" s="104" t="s">
        <v>183</v>
      </c>
      <c r="P5" t="s">
        <v>181</v>
      </c>
    </row>
    <row r="6" spans="1:16">
      <c r="A6" s="152" t="s">
        <v>427</v>
      </c>
      <c r="C6" s="152" t="s">
        <v>428</v>
      </c>
      <c r="E6" s="114" t="s">
        <v>79</v>
      </c>
      <c r="F6" s="114" t="s">
        <v>203</v>
      </c>
      <c r="G6" s="135"/>
      <c r="P6" t="s">
        <v>142</v>
      </c>
    </row>
    <row r="7" spans="1:16">
      <c r="A7" s="152"/>
      <c r="C7" s="152" t="s">
        <v>429</v>
      </c>
      <c r="E7" s="114" t="s">
        <v>232</v>
      </c>
      <c r="F7" s="104" t="s">
        <v>233</v>
      </c>
      <c r="P7" t="s">
        <v>190</v>
      </c>
    </row>
    <row r="8" spans="1:16">
      <c r="C8" s="152" t="s">
        <v>430</v>
      </c>
      <c r="E8" s="114" t="s">
        <v>181</v>
      </c>
      <c r="F8" s="104" t="s">
        <v>182</v>
      </c>
      <c r="P8" t="s">
        <v>186</v>
      </c>
    </row>
    <row r="9" spans="1:16">
      <c r="C9" s="152" t="s">
        <v>431</v>
      </c>
      <c r="E9" s="114" t="s">
        <v>218</v>
      </c>
      <c r="F9" s="104" t="s">
        <v>219</v>
      </c>
      <c r="P9" t="s">
        <v>75</v>
      </c>
    </row>
    <row r="10" spans="1:16">
      <c r="E10" s="114" t="s">
        <v>242</v>
      </c>
      <c r="F10" s="104" t="s">
        <v>243</v>
      </c>
      <c r="P10" t="s">
        <v>214</v>
      </c>
    </row>
    <row r="11" spans="1:16">
      <c r="E11" s="114" t="s">
        <v>227</v>
      </c>
      <c r="F11" s="104" t="s">
        <v>228</v>
      </c>
    </row>
    <row r="12" spans="1:16">
      <c r="E12" s="114" t="s">
        <v>70</v>
      </c>
      <c r="F12" s="104" t="s">
        <v>168</v>
      </c>
    </row>
    <row r="13" spans="1:16">
      <c r="E13" s="114" t="s">
        <v>238</v>
      </c>
      <c r="F13" s="104" t="s">
        <v>239</v>
      </c>
    </row>
    <row r="14" spans="1:16">
      <c r="E14" s="114" t="s">
        <v>223</v>
      </c>
      <c r="F14" s="104" t="s">
        <v>432</v>
      </c>
    </row>
    <row r="15" spans="1:16">
      <c r="E15" s="114" t="s">
        <v>142</v>
      </c>
      <c r="F15" s="114" t="s">
        <v>233</v>
      </c>
    </row>
    <row r="16" spans="1:16">
      <c r="E16" s="114" t="s">
        <v>252</v>
      </c>
      <c r="F16" s="104" t="s">
        <v>433</v>
      </c>
    </row>
    <row r="17" spans="5:6">
      <c r="E17" s="114" t="s">
        <v>190</v>
      </c>
      <c r="F17" s="104" t="s">
        <v>191</v>
      </c>
    </row>
    <row r="18" spans="5:6">
      <c r="E18" s="114" t="s">
        <v>186</v>
      </c>
      <c r="F18" s="104" t="s">
        <v>187</v>
      </c>
    </row>
    <row r="19" spans="5:6">
      <c r="E19" s="114" t="s">
        <v>257</v>
      </c>
      <c r="F19" s="104" t="s">
        <v>434</v>
      </c>
    </row>
    <row r="20" spans="5:6">
      <c r="E20" s="114" t="s">
        <v>75</v>
      </c>
      <c r="F20" s="114" t="s">
        <v>207</v>
      </c>
    </row>
    <row r="21" spans="5:6">
      <c r="E21" s="114" t="s">
        <v>214</v>
      </c>
      <c r="F21" s="114" t="s">
        <v>215</v>
      </c>
    </row>
    <row r="22" spans="5:6">
      <c r="F22" s="152"/>
    </row>
  </sheetData>
  <mergeCells count="3">
    <mergeCell ref="A1:H1"/>
    <mergeCell ref="E2:F2"/>
    <mergeCell ref="G2:H2"/>
  </mergeCells>
  <dataValidations count="1">
    <dataValidation type="list" allowBlank="1" showInputMessage="1" showErrorMessage="1" sqref="F3" xr:uid="{A9A2A1E6-E877-4E2E-972E-9DBA5A88A61B}">
      <formula1>$P$2:$P$4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5"/>
  <dimension ref="A1:D7"/>
  <sheetViews>
    <sheetView workbookViewId="0"/>
  </sheetViews>
  <sheetFormatPr defaultRowHeight="15"/>
  <sheetData>
    <row r="1" spans="1:4">
      <c r="A1" t="s">
        <v>446</v>
      </c>
      <c r="B1" t="s">
        <v>447</v>
      </c>
      <c r="C1" t="s">
        <v>448</v>
      </c>
      <c r="D1" t="s">
        <v>449</v>
      </c>
    </row>
    <row r="2" spans="1:4">
      <c r="A2" t="s">
        <v>438</v>
      </c>
      <c r="B2" t="s">
        <v>444</v>
      </c>
      <c r="C2" t="s">
        <v>439</v>
      </c>
      <c r="D2">
        <v>1</v>
      </c>
    </row>
    <row r="3" spans="1:4">
      <c r="A3" t="s">
        <v>440</v>
      </c>
      <c r="B3" t="s">
        <v>436</v>
      </c>
      <c r="C3" t="s">
        <v>259</v>
      </c>
      <c r="D3">
        <v>2</v>
      </c>
    </row>
    <row r="4" spans="1:4">
      <c r="A4" t="s">
        <v>441</v>
      </c>
      <c r="B4" t="s">
        <v>436</v>
      </c>
      <c r="C4" t="s">
        <v>439</v>
      </c>
      <c r="D4">
        <v>0.125</v>
      </c>
    </row>
    <row r="5" spans="1:4">
      <c r="A5" t="s">
        <v>445</v>
      </c>
      <c r="B5" t="s">
        <v>436</v>
      </c>
      <c r="C5" t="s">
        <v>439</v>
      </c>
      <c r="D5">
        <v>0.125</v>
      </c>
    </row>
    <row r="6" spans="1:4">
      <c r="A6" t="s">
        <v>442</v>
      </c>
      <c r="B6" t="s">
        <v>259</v>
      </c>
      <c r="C6" t="s">
        <v>443</v>
      </c>
      <c r="D6">
        <v>2</v>
      </c>
    </row>
    <row r="7" spans="1:4">
      <c r="A7" t="s">
        <v>437</v>
      </c>
      <c r="B7" t="s">
        <v>435</v>
      </c>
      <c r="C7" t="s">
        <v>214</v>
      </c>
      <c r="D7">
        <v>76.88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479F-11B3-44E7-BB04-506F20E048D9}">
  <sheetPr codeName="Sheet3"/>
  <dimension ref="A2:G47"/>
  <sheetViews>
    <sheetView workbookViewId="0"/>
  </sheetViews>
  <sheetFormatPr defaultRowHeight="15"/>
  <sheetData>
    <row r="2" spans="1:7">
      <c r="A2" t="s">
        <v>450</v>
      </c>
      <c r="B2">
        <v>0.3</v>
      </c>
      <c r="C2">
        <v>3.5390999999999999</v>
      </c>
      <c r="D2">
        <v>8.2577999999999996</v>
      </c>
      <c r="E2">
        <v>0</v>
      </c>
      <c r="F2">
        <v>0</v>
      </c>
      <c r="G2" t="b">
        <v>1</v>
      </c>
    </row>
    <row r="3" spans="1:7">
      <c r="A3" t="s">
        <v>451</v>
      </c>
      <c r="B3">
        <v>0.27</v>
      </c>
      <c r="C3">
        <v>6.7758000000000003</v>
      </c>
      <c r="D3">
        <v>18.319700000000001</v>
      </c>
      <c r="E3">
        <v>0</v>
      </c>
      <c r="F3">
        <v>0</v>
      </c>
      <c r="G3" t="b">
        <v>1</v>
      </c>
    </row>
    <row r="4" spans="1:7">
      <c r="A4" t="s">
        <v>453</v>
      </c>
      <c r="B4">
        <v>0.3</v>
      </c>
      <c r="C4">
        <v>0</v>
      </c>
      <c r="D4">
        <v>0</v>
      </c>
      <c r="E4">
        <v>0</v>
      </c>
      <c r="F4">
        <v>0</v>
      </c>
      <c r="G4" t="b">
        <v>1</v>
      </c>
    </row>
    <row r="5" spans="1:7">
      <c r="A5" t="s">
        <v>454</v>
      </c>
      <c r="B5">
        <v>0.3</v>
      </c>
      <c r="C5">
        <v>4.4058000000000002</v>
      </c>
      <c r="D5">
        <v>10.280200000000001</v>
      </c>
      <c r="E5">
        <v>0</v>
      </c>
      <c r="F5">
        <v>0</v>
      </c>
      <c r="G5" t="b">
        <v>1</v>
      </c>
    </row>
    <row r="6" spans="1:7">
      <c r="A6" t="s">
        <v>452</v>
      </c>
      <c r="B6">
        <v>0.26</v>
      </c>
      <c r="C6">
        <v>11.885</v>
      </c>
      <c r="D6">
        <v>33.826500000000003</v>
      </c>
      <c r="E6">
        <v>0</v>
      </c>
      <c r="F6">
        <v>0</v>
      </c>
      <c r="G6" t="b">
        <v>1</v>
      </c>
    </row>
    <row r="7" spans="1:7">
      <c r="A7" t="s">
        <v>455</v>
      </c>
      <c r="B7">
        <v>0.3</v>
      </c>
      <c r="C7">
        <v>6.0726000000000004</v>
      </c>
      <c r="D7">
        <v>14.169499999999999</v>
      </c>
      <c r="E7">
        <v>0</v>
      </c>
      <c r="F7">
        <v>0</v>
      </c>
      <c r="G7" t="b">
        <v>1</v>
      </c>
    </row>
    <row r="8" spans="1:7">
      <c r="A8" t="s">
        <v>456</v>
      </c>
      <c r="B8">
        <v>0.3</v>
      </c>
      <c r="C8">
        <v>0.62370000000000003</v>
      </c>
      <c r="D8">
        <v>1.4554</v>
      </c>
      <c r="E8">
        <v>0</v>
      </c>
      <c r="F8">
        <v>0</v>
      </c>
      <c r="G8" t="b">
        <v>1</v>
      </c>
    </row>
    <row r="9" spans="1:7">
      <c r="A9" t="s">
        <v>457</v>
      </c>
      <c r="B9">
        <v>0.3</v>
      </c>
      <c r="C9">
        <v>0.40060000000000001</v>
      </c>
      <c r="D9">
        <v>0.93469999999999998</v>
      </c>
      <c r="E9">
        <v>0</v>
      </c>
      <c r="F9">
        <v>0</v>
      </c>
      <c r="G9" t="b">
        <v>1</v>
      </c>
    </row>
    <row r="10" spans="1:7">
      <c r="A10" t="s">
        <v>458</v>
      </c>
      <c r="B10">
        <v>0.3</v>
      </c>
      <c r="C10">
        <v>2.2210000000000001</v>
      </c>
      <c r="D10">
        <v>5.1824000000000003</v>
      </c>
      <c r="E10">
        <v>0</v>
      </c>
      <c r="F10">
        <v>0</v>
      </c>
      <c r="G10" t="b">
        <v>1</v>
      </c>
    </row>
    <row r="11" spans="1:7">
      <c r="A11" t="s">
        <v>459</v>
      </c>
      <c r="B11">
        <v>0.3</v>
      </c>
      <c r="C11">
        <v>2.8336000000000001</v>
      </c>
      <c r="D11">
        <v>6.6117999999999997</v>
      </c>
      <c r="E11">
        <v>0</v>
      </c>
      <c r="F11">
        <v>0</v>
      </c>
      <c r="G11" t="b">
        <v>1</v>
      </c>
    </row>
    <row r="12" spans="1:7">
      <c r="A12" t="s">
        <v>495</v>
      </c>
      <c r="B12">
        <v>0.3</v>
      </c>
      <c r="C12">
        <v>0.3201</v>
      </c>
      <c r="D12">
        <v>0.74690000000000001</v>
      </c>
      <c r="E12">
        <v>0</v>
      </c>
      <c r="F12">
        <v>0</v>
      </c>
      <c r="G12" t="b">
        <v>1</v>
      </c>
    </row>
    <row r="13" spans="1:7">
      <c r="A13" t="s">
        <v>501</v>
      </c>
      <c r="B13">
        <v>0.3</v>
      </c>
      <c r="C13">
        <v>0</v>
      </c>
      <c r="D13">
        <v>0</v>
      </c>
      <c r="E13">
        <v>0</v>
      </c>
      <c r="F13">
        <v>0</v>
      </c>
      <c r="G13" t="b">
        <v>1</v>
      </c>
    </row>
    <row r="14" spans="1:7">
      <c r="A14" t="s">
        <v>502</v>
      </c>
      <c r="B14">
        <v>0.3</v>
      </c>
      <c r="C14">
        <v>0</v>
      </c>
      <c r="D14">
        <v>0</v>
      </c>
      <c r="E14">
        <v>0</v>
      </c>
      <c r="F14">
        <v>0</v>
      </c>
      <c r="G14" t="b">
        <v>1</v>
      </c>
    </row>
    <row r="15" spans="1:7">
      <c r="A15" t="s">
        <v>460</v>
      </c>
      <c r="B15">
        <v>0.3</v>
      </c>
      <c r="C15">
        <v>13.545400000000001</v>
      </c>
      <c r="D15">
        <v>31.606000000000002</v>
      </c>
      <c r="E15">
        <v>0</v>
      </c>
      <c r="F15">
        <v>0</v>
      </c>
      <c r="G15" t="b">
        <v>1</v>
      </c>
    </row>
    <row r="16" spans="1:7">
      <c r="A16" t="s">
        <v>463</v>
      </c>
      <c r="B16">
        <v>0.3</v>
      </c>
      <c r="C16">
        <v>1.1456</v>
      </c>
      <c r="D16">
        <v>2.673</v>
      </c>
      <c r="E16">
        <v>0</v>
      </c>
      <c r="F16">
        <v>0</v>
      </c>
      <c r="G16" t="b">
        <v>1</v>
      </c>
    </row>
    <row r="17" spans="1:7">
      <c r="A17" t="s">
        <v>503</v>
      </c>
      <c r="B17">
        <v>0.3</v>
      </c>
      <c r="C17">
        <v>0.67889999999999995</v>
      </c>
      <c r="D17">
        <v>1.5841000000000001</v>
      </c>
      <c r="E17">
        <v>0</v>
      </c>
      <c r="F17">
        <v>0</v>
      </c>
      <c r="G17" t="b">
        <v>1</v>
      </c>
    </row>
    <row r="18" spans="1:7">
      <c r="A18" t="s">
        <v>504</v>
      </c>
      <c r="B18">
        <v>0.3</v>
      </c>
      <c r="C18">
        <v>1.1798999999999999</v>
      </c>
      <c r="D18">
        <v>2.7530000000000001</v>
      </c>
      <c r="E18">
        <v>0</v>
      </c>
      <c r="F18">
        <v>0</v>
      </c>
      <c r="G18" t="b">
        <v>1</v>
      </c>
    </row>
    <row r="19" spans="1:7">
      <c r="A19" t="s">
        <v>469</v>
      </c>
      <c r="B19">
        <v>0.3</v>
      </c>
      <c r="C19">
        <v>1.2756000000000001</v>
      </c>
      <c r="D19">
        <v>2.9763999999999999</v>
      </c>
      <c r="E19">
        <v>0</v>
      </c>
      <c r="F19">
        <v>0</v>
      </c>
      <c r="G19" t="b">
        <v>1</v>
      </c>
    </row>
    <row r="20" spans="1:7">
      <c r="A20" t="s">
        <v>505</v>
      </c>
      <c r="B20">
        <v>0.3</v>
      </c>
      <c r="C20">
        <v>3.5468000000000002</v>
      </c>
      <c r="D20">
        <v>8.2759</v>
      </c>
      <c r="E20">
        <v>0</v>
      </c>
      <c r="F20">
        <v>0</v>
      </c>
      <c r="G20" t="b">
        <v>1</v>
      </c>
    </row>
    <row r="21" spans="1:7">
      <c r="A21" t="s">
        <v>472</v>
      </c>
      <c r="B21">
        <v>0.3</v>
      </c>
      <c r="C21">
        <v>0.30669999999999997</v>
      </c>
      <c r="D21">
        <v>0.71560000000000001</v>
      </c>
      <c r="E21">
        <v>0</v>
      </c>
      <c r="F21">
        <v>0</v>
      </c>
      <c r="G21" t="b">
        <v>1</v>
      </c>
    </row>
    <row r="22" spans="1:7">
      <c r="A22" t="s">
        <v>506</v>
      </c>
      <c r="B22">
        <v>0.3</v>
      </c>
      <c r="C22">
        <v>0.34960000000000002</v>
      </c>
      <c r="D22">
        <v>0.81579999999999997</v>
      </c>
      <c r="E22">
        <v>0</v>
      </c>
      <c r="F22">
        <v>0</v>
      </c>
      <c r="G22" t="b">
        <v>1</v>
      </c>
    </row>
    <row r="23" spans="1:7">
      <c r="A23" t="s">
        <v>507</v>
      </c>
      <c r="B23">
        <v>0.3</v>
      </c>
      <c r="C23">
        <v>1.0605</v>
      </c>
      <c r="D23">
        <v>2.4746000000000001</v>
      </c>
      <c r="E23">
        <v>0</v>
      </c>
      <c r="F23">
        <v>0</v>
      </c>
      <c r="G23" t="b">
        <v>1</v>
      </c>
    </row>
    <row r="24" spans="1:7">
      <c r="A24" t="s">
        <v>478</v>
      </c>
      <c r="B24">
        <v>0.3</v>
      </c>
      <c r="C24">
        <v>0.443</v>
      </c>
      <c r="D24">
        <v>1.0336000000000001</v>
      </c>
      <c r="E24">
        <v>0</v>
      </c>
      <c r="F24">
        <v>0</v>
      </c>
      <c r="G24" t="b">
        <v>1</v>
      </c>
    </row>
    <row r="25" spans="1:7">
      <c r="A25" t="s">
        <v>508</v>
      </c>
      <c r="B25">
        <v>0.3</v>
      </c>
      <c r="C25">
        <v>0.40899999999999997</v>
      </c>
      <c r="D25">
        <v>0.95440000000000003</v>
      </c>
      <c r="E25">
        <v>0</v>
      </c>
      <c r="F25">
        <v>0</v>
      </c>
      <c r="G25" t="b">
        <v>1</v>
      </c>
    </row>
    <row r="26" spans="1:7">
      <c r="A26" t="s">
        <v>509</v>
      </c>
      <c r="B26">
        <v>0.3</v>
      </c>
      <c r="C26">
        <v>0.49769999999999998</v>
      </c>
      <c r="D26">
        <v>1.1613</v>
      </c>
      <c r="E26">
        <v>0</v>
      </c>
      <c r="F26">
        <v>0</v>
      </c>
      <c r="G26" t="b">
        <v>1</v>
      </c>
    </row>
    <row r="27" spans="1:7">
      <c r="A27" t="s">
        <v>475</v>
      </c>
      <c r="B27">
        <v>0.3</v>
      </c>
      <c r="C27">
        <v>5.0507</v>
      </c>
      <c r="D27">
        <v>11.785</v>
      </c>
      <c r="E27">
        <v>0</v>
      </c>
      <c r="F27">
        <v>0</v>
      </c>
      <c r="G27" t="b">
        <v>1</v>
      </c>
    </row>
    <row r="28" spans="1:7">
      <c r="A28" t="s">
        <v>481</v>
      </c>
      <c r="B28">
        <v>0.3</v>
      </c>
      <c r="C28">
        <v>1.1951000000000001</v>
      </c>
      <c r="D28">
        <v>2.7886000000000002</v>
      </c>
      <c r="E28">
        <v>0</v>
      </c>
      <c r="F28">
        <v>0</v>
      </c>
      <c r="G28" t="b">
        <v>1</v>
      </c>
    </row>
    <row r="29" spans="1:7">
      <c r="A29" t="s">
        <v>512</v>
      </c>
      <c r="B29">
        <v>0.3</v>
      </c>
      <c r="C29">
        <v>1.1718999999999999</v>
      </c>
      <c r="D29">
        <v>2.7343999999999999</v>
      </c>
      <c r="E29">
        <v>0</v>
      </c>
      <c r="F29">
        <v>0</v>
      </c>
      <c r="G29" t="b">
        <v>1</v>
      </c>
    </row>
    <row r="30" spans="1:7">
      <c r="A30" t="s">
        <v>513</v>
      </c>
      <c r="B30">
        <v>0.3</v>
      </c>
      <c r="C30">
        <v>1.5261</v>
      </c>
      <c r="D30">
        <v>3.5608</v>
      </c>
      <c r="E30">
        <v>0</v>
      </c>
      <c r="F30">
        <v>0</v>
      </c>
      <c r="G30" t="b">
        <v>1</v>
      </c>
    </row>
    <row r="31" spans="1:7">
      <c r="A31" t="s">
        <v>510</v>
      </c>
      <c r="B31">
        <v>0.3</v>
      </c>
      <c r="C31">
        <v>0.93410000000000004</v>
      </c>
      <c r="D31">
        <v>2.1795</v>
      </c>
      <c r="E31">
        <v>0</v>
      </c>
      <c r="F31">
        <v>0</v>
      </c>
      <c r="G31" t="b">
        <v>1</v>
      </c>
    </row>
    <row r="32" spans="1:7">
      <c r="A32" t="s">
        <v>511</v>
      </c>
      <c r="B32">
        <v>0.3</v>
      </c>
      <c r="C32">
        <v>1.2882</v>
      </c>
      <c r="D32">
        <v>3.0059</v>
      </c>
      <c r="E32">
        <v>0</v>
      </c>
      <c r="F32">
        <v>0</v>
      </c>
      <c r="G32" t="b">
        <v>1</v>
      </c>
    </row>
    <row r="33" spans="1:7">
      <c r="A33" t="s">
        <v>514</v>
      </c>
      <c r="B33">
        <v>0.3</v>
      </c>
      <c r="C33">
        <v>0.96760000000000002</v>
      </c>
      <c r="D33">
        <v>2.2576000000000001</v>
      </c>
      <c r="E33">
        <v>0</v>
      </c>
      <c r="F33">
        <v>0</v>
      </c>
      <c r="G33" t="b">
        <v>1</v>
      </c>
    </row>
    <row r="34" spans="1:7">
      <c r="A34" t="s">
        <v>515</v>
      </c>
      <c r="B34">
        <v>0.3</v>
      </c>
      <c r="C34">
        <v>1.3912</v>
      </c>
      <c r="D34">
        <v>3.2462</v>
      </c>
      <c r="E34">
        <v>0</v>
      </c>
      <c r="F34">
        <v>0</v>
      </c>
      <c r="G34" t="b">
        <v>1</v>
      </c>
    </row>
    <row r="35" spans="1:7">
      <c r="A35" t="s">
        <v>516</v>
      </c>
      <c r="B35">
        <v>0.3</v>
      </c>
      <c r="C35">
        <v>2.5211000000000001</v>
      </c>
      <c r="D35">
        <v>5.8825000000000003</v>
      </c>
      <c r="E35">
        <v>0</v>
      </c>
      <c r="F35">
        <v>0</v>
      </c>
      <c r="G35" t="b">
        <v>1</v>
      </c>
    </row>
    <row r="36" spans="1:7">
      <c r="A36" t="s">
        <v>517</v>
      </c>
      <c r="B36">
        <v>0.3</v>
      </c>
      <c r="C36">
        <v>1.0603</v>
      </c>
      <c r="D36">
        <v>2.4741</v>
      </c>
      <c r="E36">
        <v>0</v>
      </c>
      <c r="F36">
        <v>0</v>
      </c>
      <c r="G36" t="b">
        <v>1</v>
      </c>
    </row>
    <row r="37" spans="1:7">
      <c r="A37" t="s">
        <v>518</v>
      </c>
      <c r="B37">
        <v>0.3</v>
      </c>
      <c r="C37">
        <v>0.98929999999999996</v>
      </c>
      <c r="D37">
        <v>2.3083</v>
      </c>
      <c r="E37">
        <v>0</v>
      </c>
      <c r="F37">
        <v>0</v>
      </c>
      <c r="G37" t="b">
        <v>1</v>
      </c>
    </row>
    <row r="38" spans="1:7">
      <c r="A38" t="s">
        <v>519</v>
      </c>
      <c r="B38">
        <v>0.3</v>
      </c>
      <c r="C38">
        <v>0.7661</v>
      </c>
      <c r="D38">
        <v>1.7876000000000001</v>
      </c>
      <c r="E38">
        <v>0</v>
      </c>
      <c r="F38">
        <v>0</v>
      </c>
      <c r="G38" t="b">
        <v>1</v>
      </c>
    </row>
    <row r="39" spans="1:7">
      <c r="A39" t="s">
        <v>520</v>
      </c>
      <c r="B39">
        <v>0.3</v>
      </c>
      <c r="C39">
        <v>0.53</v>
      </c>
      <c r="D39">
        <v>1.2366999999999999</v>
      </c>
      <c r="E39">
        <v>0</v>
      </c>
      <c r="F39">
        <v>0</v>
      </c>
      <c r="G39" t="b">
        <v>1</v>
      </c>
    </row>
    <row r="40" spans="1:7">
      <c r="A40" t="s">
        <v>522</v>
      </c>
      <c r="B40">
        <v>0.3</v>
      </c>
      <c r="C40">
        <v>1.482</v>
      </c>
      <c r="D40">
        <v>3.4580000000000002</v>
      </c>
      <c r="E40">
        <v>0</v>
      </c>
      <c r="F40">
        <v>0</v>
      </c>
      <c r="G40" t="b">
        <v>1</v>
      </c>
    </row>
    <row r="41" spans="1:7">
      <c r="A41" t="s">
        <v>521</v>
      </c>
      <c r="B41">
        <v>0.3</v>
      </c>
      <c r="C41">
        <v>1.7500000000000002E-2</v>
      </c>
      <c r="D41">
        <v>4.0899999999999999E-2</v>
      </c>
      <c r="E41">
        <v>0</v>
      </c>
      <c r="F41">
        <v>0</v>
      </c>
      <c r="G41" t="b">
        <v>1</v>
      </c>
    </row>
    <row r="42" spans="1:7">
      <c r="A42" t="s">
        <v>523</v>
      </c>
      <c r="B42">
        <v>0.3</v>
      </c>
      <c r="C42">
        <v>3.302</v>
      </c>
      <c r="D42">
        <v>7.7046000000000001</v>
      </c>
      <c r="E42">
        <v>0</v>
      </c>
      <c r="F42">
        <v>0</v>
      </c>
      <c r="G42" t="b">
        <v>1</v>
      </c>
    </row>
    <row r="43" spans="1:7">
      <c r="A43" t="s">
        <v>524</v>
      </c>
      <c r="B43">
        <v>0.3</v>
      </c>
      <c r="C43">
        <v>0.97960000000000003</v>
      </c>
      <c r="D43">
        <v>2.2858000000000001</v>
      </c>
      <c r="E43">
        <v>0</v>
      </c>
      <c r="F43">
        <v>0</v>
      </c>
      <c r="G43" t="b">
        <v>1</v>
      </c>
    </row>
    <row r="44" spans="1:7">
      <c r="A44" t="s">
        <v>525</v>
      </c>
      <c r="B44">
        <v>0.3</v>
      </c>
      <c r="C44">
        <v>15.7417</v>
      </c>
      <c r="D44">
        <v>36.730600000000003</v>
      </c>
      <c r="E44">
        <v>0</v>
      </c>
      <c r="F44">
        <v>0</v>
      </c>
      <c r="G44" t="b">
        <v>1</v>
      </c>
    </row>
    <row r="45" spans="1:7">
      <c r="A45" t="s">
        <v>526</v>
      </c>
      <c r="B45">
        <v>0.3</v>
      </c>
      <c r="C45">
        <v>4.1660000000000004</v>
      </c>
      <c r="D45">
        <v>9.7207000000000008</v>
      </c>
      <c r="E45">
        <v>0</v>
      </c>
      <c r="F45">
        <v>0</v>
      </c>
      <c r="G45" t="b">
        <v>1</v>
      </c>
    </row>
    <row r="46" spans="1:7">
      <c r="A46" t="s">
        <v>527</v>
      </c>
      <c r="B46">
        <v>0.3</v>
      </c>
      <c r="C46">
        <v>2.77</v>
      </c>
      <c r="D46">
        <v>6.4634</v>
      </c>
      <c r="E46">
        <v>0</v>
      </c>
      <c r="F46">
        <v>0</v>
      </c>
      <c r="G46" t="b">
        <v>1</v>
      </c>
    </row>
    <row r="47" spans="1:7">
      <c r="A47" t="s">
        <v>528</v>
      </c>
      <c r="B47">
        <v>0.3</v>
      </c>
      <c r="C47">
        <v>1.07</v>
      </c>
      <c r="D47">
        <v>2.4967000000000001</v>
      </c>
      <c r="E47">
        <v>0</v>
      </c>
      <c r="F47">
        <v>0</v>
      </c>
      <c r="G47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Index</vt:lpstr>
      <vt:lpstr>Costing Template</vt:lpstr>
      <vt:lpstr>Images</vt:lpstr>
      <vt:lpstr>Kitchen Conversions</vt:lpstr>
      <vt:lpstr>Scoop Size</vt:lpstr>
      <vt:lpstr>Minimum Internal Temperatures</vt:lpstr>
      <vt:lpstr>Food Storage Temperatures</vt:lpstr>
      <vt:lpstr>Clientele</vt:lpstr>
      <vt:lpstr>Degree</vt:lpstr>
      <vt:lpstr>Meal</vt:lpstr>
      <vt:lpstr>Measurement</vt:lpstr>
      <vt:lpstr>'Costing Template'!Print_Area</vt:lpstr>
      <vt:lpstr>'Food Storage Temperatures'!Print_Area</vt:lpstr>
      <vt:lpstr>'Minimum Internal Temperatures'!Print_Area</vt:lpstr>
      <vt:lpstr>RecipeUnits</vt:lpstr>
      <vt:lpstr>Tempsymbol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Darrell Pender</dc:creator>
  <cp:lastModifiedBy>Darrell Pender</cp:lastModifiedBy>
  <dcterms:created xsi:type="dcterms:W3CDTF">2026-08-22T21:39:20Z</dcterms:created>
  <dcterms:modified xsi:type="dcterms:W3CDTF">2026-09-11T11:19:22Z</dcterms:modified>
</cp:coreProperties>
</file>